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欣興\"/>
    </mc:Choice>
  </mc:AlternateContent>
  <bookViews>
    <workbookView xWindow="0" yWindow="0" windowWidth="30720" windowHeight="13452" activeTab="3"/>
  </bookViews>
  <sheets>
    <sheet name="料號靶距" sheetId="2" r:id="rId1"/>
    <sheet name="長邊進_靶距" sheetId="4" r:id="rId2"/>
    <sheet name="短邊進_靶距" sheetId="1" r:id="rId3"/>
    <sheet name="longshow" sheetId="8" r:id="rId4"/>
    <sheet name="shortshow" sheetId="9" r:id="rId5"/>
    <sheet name="靶距" sheetId="7" state="hidden" r:id="rId6"/>
    <sheet name="工作表2" sheetId="6" state="hidden" r:id="rId7"/>
  </sheets>
  <functionGroups builtInGroupCount="18"/>
  <definedNames>
    <definedName name="_xlnm._FilterDatabase" localSheetId="6" hidden="1">工作表2!$B$3:$AA$21</definedName>
    <definedName name="_xlnm._FilterDatabase" localSheetId="5" hidden="1">靶距!$A$5:$AB$22</definedName>
    <definedName name="_xlnm.Print_Area" localSheetId="3">longshow!$A$1:$I$40</definedName>
    <definedName name="_xlnm.Print_Area" localSheetId="4">shortshow!$A$1:$I$42</definedName>
    <definedName name="_xlnm.Print_Area" localSheetId="1">長邊進_靶距!$A$24:$Q$43</definedName>
    <definedName name="_xlnm.Print_Area" localSheetId="0">料號靶距!$A$1:$W$67</definedName>
    <definedName name="_xlnm.Print_Area" localSheetId="2">短邊進_靶距!$A$24:$Q$48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8" i="4" l="1"/>
  <c r="J12" i="4" l="1"/>
  <c r="J9" i="1"/>
  <c r="O9" i="1" s="1"/>
  <c r="F7" i="8" l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33" i="4"/>
  <c r="S34" i="4"/>
  <c r="S35" i="4"/>
  <c r="S36" i="4"/>
  <c r="S37" i="4"/>
  <c r="S38" i="4"/>
  <c r="S39" i="4"/>
  <c r="S40" i="4"/>
  <c r="S41" i="4"/>
  <c r="S42" i="4"/>
  <c r="S30" i="4"/>
  <c r="S31" i="4"/>
  <c r="S32" i="4"/>
  <c r="S28" i="4"/>
  <c r="S29" i="4"/>
  <c r="S27" i="4"/>
  <c r="A17" i="9" l="1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S26" i="1" l="1"/>
  <c r="A64" i="4" l="1"/>
  <c r="A64" i="1"/>
  <c r="E21" i="4" l="1"/>
  <c r="E23" i="4"/>
  <c r="J10" i="4" s="1"/>
  <c r="J11" i="4" s="1"/>
  <c r="E21" i="1"/>
  <c r="E23" i="1"/>
  <c r="I10" i="1" s="1"/>
  <c r="X16" i="4"/>
  <c r="W16" i="4"/>
  <c r="V16" i="4"/>
  <c r="K19" i="1"/>
  <c r="J19" i="1"/>
  <c r="AB8" i="7" l="1"/>
  <c r="AB9" i="7"/>
  <c r="AB18" i="7"/>
  <c r="U57" i="2" l="1"/>
  <c r="J47" i="1"/>
  <c r="I16" i="1"/>
  <c r="I17" i="1" l="1"/>
  <c r="I18" i="1"/>
  <c r="S26" i="4" l="1"/>
  <c r="U26" i="4" l="1"/>
  <c r="T26" i="4"/>
  <c r="J16" i="4"/>
  <c r="I16" i="4"/>
  <c r="I18" i="4" s="1"/>
  <c r="K17" i="4" l="1"/>
  <c r="K18" i="4"/>
  <c r="J17" i="4"/>
  <c r="N35" i="4"/>
  <c r="N37" i="4"/>
  <c r="N36" i="4"/>
  <c r="K16" i="1"/>
  <c r="M27" i="4"/>
  <c r="J13" i="4"/>
  <c r="K13" i="4" s="1"/>
  <c r="I13" i="4"/>
  <c r="I10" i="4"/>
  <c r="I12" i="4" s="1"/>
  <c r="J7" i="4"/>
  <c r="J8" i="4" s="1"/>
  <c r="I7" i="4"/>
  <c r="I8" i="4" s="1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K11" i="4" l="1"/>
  <c r="K12" i="4"/>
  <c r="I14" i="4"/>
  <c r="J16" i="1"/>
  <c r="K17" i="1"/>
  <c r="I17" i="4"/>
  <c r="K16" i="4"/>
  <c r="I11" i="4"/>
  <c r="K10" i="4"/>
  <c r="K7" i="4"/>
  <c r="J14" i="4"/>
  <c r="K14" i="4" s="1"/>
  <c r="H42" i="1"/>
  <c r="H41" i="1"/>
  <c r="H40" i="1"/>
  <c r="H39" i="1"/>
  <c r="H38" i="1"/>
  <c r="H37" i="1"/>
  <c r="H36" i="1"/>
  <c r="H35" i="1"/>
  <c r="H34" i="1"/>
  <c r="H33" i="1"/>
  <c r="H32" i="1"/>
  <c r="H31" i="1"/>
  <c r="H27" i="1"/>
  <c r="H28" i="1"/>
  <c r="H29" i="1"/>
  <c r="H30" i="1"/>
  <c r="J13" i="1"/>
  <c r="I13" i="1"/>
  <c r="I14" i="1" s="1"/>
  <c r="J10" i="1"/>
  <c r="I12" i="1"/>
  <c r="J7" i="1"/>
  <c r="J8" i="1" s="1"/>
  <c r="I7" i="1"/>
  <c r="I9" i="1" s="1"/>
  <c r="Z13" i="4" l="1"/>
  <c r="I19" i="1"/>
  <c r="K7" i="1"/>
  <c r="K18" i="1"/>
  <c r="J18" i="1" s="1"/>
  <c r="J17" i="1"/>
  <c r="J14" i="1"/>
  <c r="J15" i="1"/>
  <c r="K8" i="4"/>
  <c r="I4" i="4"/>
  <c r="K13" i="1"/>
  <c r="K14" i="1" s="1"/>
  <c r="I15" i="1"/>
  <c r="K10" i="1"/>
  <c r="K11" i="1" s="1"/>
  <c r="J11" i="1" s="1"/>
  <c r="I11" i="1"/>
  <c r="I8" i="1"/>
  <c r="K12" i="1" l="1"/>
  <c r="N13" i="4"/>
  <c r="S13" i="4" s="1"/>
  <c r="N18" i="4"/>
  <c r="S18" i="4" s="1"/>
  <c r="K9" i="1"/>
  <c r="K8" i="1"/>
  <c r="N14" i="4"/>
  <c r="S14" i="4" s="1"/>
  <c r="N12" i="4"/>
  <c r="S12" i="4" s="1"/>
  <c r="N16" i="4"/>
  <c r="S16" i="4" s="1"/>
  <c r="N17" i="4"/>
  <c r="S17" i="4" s="1"/>
  <c r="N10" i="4"/>
  <c r="S10" i="4" s="1"/>
  <c r="N11" i="4"/>
  <c r="S11" i="4" s="1"/>
  <c r="J12" i="1"/>
  <c r="K15" i="1"/>
  <c r="N8" i="4"/>
  <c r="S8" i="4" s="1"/>
  <c r="N7" i="4"/>
  <c r="S7" i="4" s="1"/>
  <c r="K4" i="4"/>
  <c r="I4" i="1"/>
  <c r="P12" i="4" l="1"/>
  <c r="U12" i="4" s="1"/>
  <c r="O12" i="4"/>
  <c r="T12" i="4" s="1"/>
  <c r="O10" i="4"/>
  <c r="O11" i="4"/>
  <c r="P11" i="4"/>
  <c r="U11" i="4" s="1"/>
  <c r="P10" i="4"/>
  <c r="U10" i="4" s="1"/>
  <c r="N19" i="1"/>
  <c r="S19" i="1" s="1"/>
  <c r="N9" i="1"/>
  <c r="S9" i="1" s="1"/>
  <c r="P18" i="4"/>
  <c r="U18" i="4" s="1"/>
  <c r="O18" i="4"/>
  <c r="T18" i="4" s="1"/>
  <c r="O16" i="4"/>
  <c r="T16" i="4" s="1"/>
  <c r="P16" i="4"/>
  <c r="U16" i="4" s="1"/>
  <c r="N12" i="1"/>
  <c r="S12" i="1" s="1"/>
  <c r="N10" i="1"/>
  <c r="S10" i="1" s="1"/>
  <c r="N11" i="1"/>
  <c r="S11" i="1" s="1"/>
  <c r="N16" i="1"/>
  <c r="S16" i="1" s="1"/>
  <c r="N17" i="1"/>
  <c r="S17" i="1" s="1"/>
  <c r="N18" i="1"/>
  <c r="S18" i="1" s="1"/>
  <c r="T11" i="4"/>
  <c r="T10" i="4"/>
  <c r="P14" i="4"/>
  <c r="U14" i="4" s="1"/>
  <c r="P8" i="4"/>
  <c r="U8" i="4" s="1"/>
  <c r="O8" i="4"/>
  <c r="T8" i="4" s="1"/>
  <c r="O14" i="4"/>
  <c r="T14" i="4" s="1"/>
  <c r="O7" i="4"/>
  <c r="T7" i="4" s="1"/>
  <c r="O17" i="4"/>
  <c r="T17" i="4" s="1"/>
  <c r="O13" i="4"/>
  <c r="T13" i="4" s="1"/>
  <c r="P7" i="4"/>
  <c r="U7" i="4" s="1"/>
  <c r="P13" i="4"/>
  <c r="U13" i="4" s="1"/>
  <c r="P17" i="4"/>
  <c r="U17" i="4" s="1"/>
  <c r="K4" i="1"/>
  <c r="P12" i="1" s="1"/>
  <c r="N13" i="1"/>
  <c r="S13" i="1" s="1"/>
  <c r="N14" i="1"/>
  <c r="S14" i="1" s="1"/>
  <c r="N15" i="1"/>
  <c r="S15" i="1" s="1"/>
  <c r="N8" i="1"/>
  <c r="S8" i="1" s="1"/>
  <c r="N7" i="1"/>
  <c r="S7" i="1" s="1"/>
  <c r="T9" i="1" l="1"/>
  <c r="P9" i="1"/>
  <c r="U9" i="1" s="1"/>
  <c r="P19" i="1"/>
  <c r="U19" i="1" s="1"/>
  <c r="O19" i="1"/>
  <c r="T19" i="1" s="1"/>
  <c r="P18" i="1"/>
  <c r="U18" i="1" s="1"/>
  <c r="P17" i="1"/>
  <c r="U17" i="1" s="1"/>
  <c r="P16" i="1"/>
  <c r="U16" i="1" s="1"/>
  <c r="O18" i="1"/>
  <c r="T18" i="1" s="1"/>
  <c r="O17" i="1"/>
  <c r="T17" i="1" s="1"/>
  <c r="O12" i="1"/>
  <c r="T12" i="1" s="1"/>
  <c r="O16" i="1"/>
  <c r="T16" i="1" s="1"/>
  <c r="P10" i="1"/>
  <c r="U10" i="1" s="1"/>
  <c r="O10" i="1"/>
  <c r="T10" i="1" s="1"/>
  <c r="O11" i="1"/>
  <c r="T11" i="1" s="1"/>
  <c r="P11" i="1"/>
  <c r="U11" i="1" s="1"/>
  <c r="U12" i="1"/>
  <c r="O15" i="1"/>
  <c r="T15" i="1" s="1"/>
  <c r="O14" i="1"/>
  <c r="T14" i="1" s="1"/>
  <c r="O8" i="1"/>
  <c r="T8" i="1" s="1"/>
  <c r="P8" i="1"/>
  <c r="U8" i="1" s="1"/>
  <c r="P15" i="1"/>
  <c r="U15" i="1" s="1"/>
  <c r="P7" i="1"/>
  <c r="U7" i="1" s="1"/>
  <c r="P13" i="1"/>
  <c r="U13" i="1" s="1"/>
  <c r="O7" i="1"/>
  <c r="T7" i="1" s="1"/>
  <c r="P14" i="1"/>
  <c r="U14" i="1" s="1"/>
  <c r="O13" i="1"/>
  <c r="T13" i="1" s="1"/>
  <c r="T26" i="1"/>
  <c r="U26" i="1"/>
  <c r="N35" i="1" l="1"/>
  <c r="N36" i="1"/>
  <c r="N37" i="1"/>
</calcChain>
</file>

<file path=xl/sharedStrings.xml><?xml version="1.0" encoding="utf-8"?>
<sst xmlns="http://schemas.openxmlformats.org/spreadsheetml/2006/main" count="865" uniqueCount="281">
  <si>
    <t>X</t>
    <phoneticPr fontId="1" type="noConversion"/>
  </si>
  <si>
    <t>Y_R</t>
    <phoneticPr fontId="1" type="noConversion"/>
  </si>
  <si>
    <t>Y_L</t>
    <phoneticPr fontId="1" type="noConversion"/>
  </si>
  <si>
    <t>FV</t>
    <phoneticPr fontId="1" type="noConversion"/>
  </si>
  <si>
    <t>LAM</t>
  </si>
  <si>
    <t>LAM</t>
    <phoneticPr fontId="1" type="noConversion"/>
  </si>
  <si>
    <t>Y</t>
    <phoneticPr fontId="1" type="noConversion"/>
  </si>
  <si>
    <t>X( R )</t>
    <phoneticPr fontId="1" type="noConversion"/>
  </si>
  <si>
    <t>X( L )</t>
    <phoneticPr fontId="1" type="noConversion"/>
  </si>
  <si>
    <t>FV</t>
    <phoneticPr fontId="1" type="noConversion"/>
  </si>
  <si>
    <r>
      <t>LAM</t>
    </r>
    <r>
      <rPr>
        <sz val="12"/>
        <color theme="1"/>
        <rFont val="ㄇ"/>
        <family val="3"/>
        <charset val="136"/>
      </rPr>
      <t>內四外四</t>
    </r>
    <phoneticPr fontId="1" type="noConversion"/>
  </si>
  <si>
    <r>
      <rPr>
        <b/>
        <sz val="12"/>
        <color theme="1"/>
        <rFont val="ㄇ"/>
        <family val="3"/>
        <charset val="136"/>
      </rPr>
      <t>分割靶</t>
    </r>
    <phoneticPr fontId="1" type="noConversion"/>
  </si>
  <si>
    <t>靶類型</t>
    <phoneticPr fontId="1" type="noConversion"/>
  </si>
  <si>
    <r>
      <t>LAM</t>
    </r>
    <r>
      <rPr>
        <b/>
        <sz val="12"/>
        <color theme="1"/>
        <rFont val="細明體"/>
        <family val="3"/>
        <charset val="136"/>
      </rPr>
      <t>外四</t>
    </r>
    <phoneticPr fontId="1" type="noConversion"/>
  </si>
  <si>
    <r>
      <t>LAM</t>
    </r>
    <r>
      <rPr>
        <b/>
        <sz val="12"/>
        <color theme="1"/>
        <rFont val="細明體"/>
        <family val="3"/>
        <charset val="136"/>
      </rPr>
      <t>內四</t>
    </r>
    <phoneticPr fontId="1" type="noConversion"/>
  </si>
  <si>
    <t>靶距排序</t>
    <phoneticPr fontId="1" type="noConversion"/>
  </si>
  <si>
    <t>短邊入</t>
    <phoneticPr fontId="1" type="noConversion"/>
  </si>
  <si>
    <t xml:space="preserve"> </t>
  </si>
  <si>
    <t>層窗左上</t>
    <phoneticPr fontId="1" type="noConversion"/>
  </si>
  <si>
    <t>層窗右上</t>
    <phoneticPr fontId="1" type="noConversion"/>
  </si>
  <si>
    <t>長邊入</t>
    <phoneticPr fontId="1" type="noConversion"/>
  </si>
  <si>
    <t xml:space="preserve">             ----------------------------------------------------------</t>
  </si>
  <si>
    <t xml:space="preserve">             |                                                        |</t>
  </si>
  <si>
    <t xml:space="preserve">             |      |                                          |      |</t>
  </si>
  <si>
    <t xml:space="preserve">                    |                                   |</t>
  </si>
  <si>
    <t>LAM</t>
    <phoneticPr fontId="1" type="noConversion"/>
  </si>
  <si>
    <t xml:space="preserve">            ---------------------------------------</t>
  </si>
  <si>
    <t xml:space="preserve">            |                                     |</t>
  </si>
  <si>
    <t xml:space="preserve">   |        |   |                             |   |        |            |--------------------------|</t>
  </si>
  <si>
    <t xml:space="preserve">   |        |   |                             |   |        |            |------------|-------------|</t>
  </si>
  <si>
    <t xml:space="preserve">   |        |   |                             |   |        |            ----------------------------</t>
  </si>
  <si>
    <t xml:space="preserve">   |        |   |                             |   |        | </t>
  </si>
  <si>
    <t xml:space="preserve">                                         units=mm  </t>
  </si>
  <si>
    <t>靶程式(mm)</t>
  </si>
  <si>
    <t>X</t>
  </si>
  <si>
    <t>Y-L(左)</t>
  </si>
  <si>
    <t>Y-R(右)</t>
  </si>
  <si>
    <t>FV-T5A</t>
  </si>
  <si>
    <t>板內
分割靶</t>
    <phoneticPr fontId="1" type="noConversion"/>
  </si>
  <si>
    <t>外分割</t>
    <phoneticPr fontId="1" type="noConversion"/>
  </si>
  <si>
    <t>PRODAREA</t>
  </si>
  <si>
    <t>PARTNO</t>
  </si>
  <si>
    <t>STAGE</t>
  </si>
  <si>
    <t>SEQUEN</t>
  </si>
  <si>
    <t>SEQUEN_REF</t>
  </si>
  <si>
    <t>TARGET_PROGRAM</t>
  </si>
  <si>
    <t>UNIT</t>
  </si>
  <si>
    <t>THREE_SHORT_LA</t>
  </si>
  <si>
    <t>THREE_SHORT_LB</t>
  </si>
  <si>
    <t>THREE_SHORT</t>
  </si>
  <si>
    <t>THREE_LONG_LA_MID</t>
  </si>
  <si>
    <t>THREE_LONG_LB_MID</t>
  </si>
  <si>
    <t>THREE_LONG_MID</t>
  </si>
  <si>
    <t>FOUR_LONG_LA_LEFT</t>
  </si>
  <si>
    <t>FOUR_LONG_LB_LEFT</t>
  </si>
  <si>
    <t>FOUR_LONG_LEFT</t>
  </si>
  <si>
    <t>FOUR_LONG_LA_RIGH</t>
  </si>
  <si>
    <t>FOUR_LONG_LB_RIGH</t>
  </si>
  <si>
    <t>FOUR_LONG_RIGH</t>
  </si>
  <si>
    <t>FOUR_SHORT_LA_RIGH</t>
  </si>
  <si>
    <t>FOUR_SHORT_LB_RIGH</t>
  </si>
  <si>
    <t>FOUR_SHORT_RIGH</t>
  </si>
  <si>
    <t>TARGETNUM</t>
  </si>
  <si>
    <t>EDITLOG</t>
  </si>
  <si>
    <t>TARGETSTAGE</t>
  </si>
  <si>
    <t>TSUB_PROGRAM</t>
  </si>
  <si>
    <t>RUNCARD9</t>
  </si>
  <si>
    <t>14VP22147FP</t>
  </si>
  <si>
    <t>ENGTARGET</t>
  </si>
  <si>
    <t>HAK</t>
  </si>
  <si>
    <t>mm</t>
  </si>
  <si>
    <t>L1</t>
  </si>
  <si>
    <t>L14</t>
  </si>
  <si>
    <t>2021/03/24/13:3~00112馮秋梅10.12.67.164</t>
  </si>
  <si>
    <t>OU1</t>
  </si>
  <si>
    <t>RTAG</t>
  </si>
  <si>
    <t>T5A</t>
  </si>
  <si>
    <t>L5</t>
  </si>
  <si>
    <t>L10</t>
  </si>
  <si>
    <t>IN2</t>
  </si>
  <si>
    <t>2T5A</t>
  </si>
  <si>
    <t>T4B</t>
  </si>
  <si>
    <t>L4</t>
  </si>
  <si>
    <t>L11</t>
  </si>
  <si>
    <t>IN3</t>
  </si>
  <si>
    <t>2T4B</t>
  </si>
  <si>
    <t>T3C</t>
  </si>
  <si>
    <t>L3</t>
  </si>
  <si>
    <t>L12</t>
  </si>
  <si>
    <t>IN4</t>
  </si>
  <si>
    <t>2T3C</t>
  </si>
  <si>
    <t>T2D</t>
  </si>
  <si>
    <t>L2</t>
  </si>
  <si>
    <t>L13</t>
  </si>
  <si>
    <t>IN5</t>
  </si>
  <si>
    <t>2T2D</t>
  </si>
  <si>
    <t>TAG</t>
  </si>
  <si>
    <t>2TAG</t>
  </si>
  <si>
    <t>RT5A</t>
  </si>
  <si>
    <t>RT4B</t>
  </si>
  <si>
    <t>RT3C</t>
  </si>
  <si>
    <t>RT2D</t>
  </si>
  <si>
    <t>HAK1</t>
  </si>
  <si>
    <t>15.成型測試:</t>
  </si>
  <si>
    <t>料號</t>
    <phoneticPr fontId="1" type="noConversion"/>
  </si>
  <si>
    <t>靶孔程式</t>
    <phoneticPr fontId="1" type="noConversion"/>
  </si>
  <si>
    <t>單位</t>
    <phoneticPr fontId="1" type="noConversion"/>
  </si>
  <si>
    <t>層別</t>
    <phoneticPr fontId="1" type="noConversion"/>
  </si>
  <si>
    <t>X-Axis</t>
    <phoneticPr fontId="1" type="noConversion"/>
  </si>
  <si>
    <t>Y-Axis</t>
    <phoneticPr fontId="1" type="noConversion"/>
  </si>
  <si>
    <t>防呆Y-Axis</t>
    <phoneticPr fontId="1" type="noConversion"/>
  </si>
  <si>
    <t>孔數</t>
    <phoneticPr fontId="1" type="noConversion"/>
  </si>
  <si>
    <t>防呆X-Axis</t>
    <phoneticPr fontId="1" type="noConversion"/>
  </si>
  <si>
    <t>左下</t>
    <phoneticPr fontId="1" type="noConversion"/>
  </si>
  <si>
    <t>左上</t>
    <phoneticPr fontId="1" type="noConversion"/>
  </si>
  <si>
    <t>請於下方輸入料號全碼</t>
    <phoneticPr fontId="1" type="noConversion"/>
  </si>
  <si>
    <t xml:space="preserve"> &lt;/tr&gt;&lt;</t>
  </si>
  <si>
    <t>程式別</t>
    <phoneticPr fontId="1" type="noConversion"/>
  </si>
  <si>
    <t>X'</t>
    <phoneticPr fontId="1" type="noConversion"/>
  </si>
  <si>
    <t>Y'</t>
    <phoneticPr fontId="1" type="noConversion"/>
  </si>
  <si>
    <t>靶孔數</t>
    <phoneticPr fontId="1" type="noConversion"/>
  </si>
  <si>
    <t>分類</t>
    <phoneticPr fontId="1" type="noConversion"/>
  </si>
  <si>
    <t>靶距邊</t>
  </si>
  <si>
    <t>靶孔</t>
  </si>
  <si>
    <t>FV靶</t>
  </si>
  <si>
    <t>∆X</t>
    <phoneticPr fontId="1" type="noConversion"/>
  </si>
  <si>
    <t>∆Y</t>
    <phoneticPr fontId="1" type="noConversion"/>
  </si>
  <si>
    <t>Shift X</t>
    <phoneticPr fontId="1" type="noConversion"/>
  </si>
  <si>
    <t>Shift Y</t>
    <phoneticPr fontId="1" type="noConversion"/>
  </si>
  <si>
    <t>分割靶</t>
    <phoneticPr fontId="1" type="noConversion"/>
  </si>
  <si>
    <t>Xray #2_Muraki</t>
    <phoneticPr fontId="1" type="noConversion"/>
  </si>
  <si>
    <t>Xray #1_Muraki</t>
    <phoneticPr fontId="1" type="noConversion"/>
  </si>
  <si>
    <t>Xray #3_JH</t>
    <phoneticPr fontId="1" type="noConversion"/>
  </si>
  <si>
    <r>
      <rPr>
        <b/>
        <sz val="14"/>
        <color theme="1"/>
        <rFont val="NSimSun"/>
        <family val="3"/>
        <charset val="134"/>
      </rPr>
      <t>機台</t>
    </r>
    <phoneticPr fontId="1" type="noConversion"/>
  </si>
  <si>
    <t>Y</t>
    <phoneticPr fontId="1" type="noConversion"/>
  </si>
  <si>
    <t>Min X</t>
    <phoneticPr fontId="1" type="noConversion"/>
  </si>
  <si>
    <t>MaxX</t>
    <phoneticPr fontId="1" type="noConversion"/>
  </si>
  <si>
    <t>Max X</t>
    <phoneticPr fontId="1" type="noConversion"/>
  </si>
  <si>
    <t>Min X</t>
    <phoneticPr fontId="1" type="noConversion"/>
  </si>
  <si>
    <t>12VP22158II</t>
    <phoneticPr fontId="1" type="noConversion"/>
  </si>
  <si>
    <t>是否可以製作(分割需做兩次)</t>
    <phoneticPr fontId="1" type="noConversion"/>
  </si>
  <si>
    <t>內四外四</t>
    <phoneticPr fontId="1" type="noConversion"/>
  </si>
  <si>
    <t>貼在A3欄</t>
    <phoneticPr fontId="1" type="noConversion"/>
  </si>
  <si>
    <t>外分割</t>
    <phoneticPr fontId="1" type="noConversion"/>
  </si>
  <si>
    <t>貼在G3欄</t>
    <phoneticPr fontId="1" type="noConversion"/>
  </si>
  <si>
    <t>內分割</t>
    <phoneticPr fontId="1" type="noConversion"/>
  </si>
  <si>
    <t>貼在O3欄</t>
    <phoneticPr fontId="1" type="noConversion"/>
  </si>
  <si>
    <r>
      <rPr>
        <b/>
        <sz val="16"/>
        <color theme="1"/>
        <rFont val="微軟正黑體"/>
        <family val="2"/>
        <charset val="136"/>
      </rPr>
      <t>板內
分割靶</t>
    </r>
    <phoneticPr fontId="1" type="noConversion"/>
  </si>
  <si>
    <r>
      <rPr>
        <b/>
        <sz val="16"/>
        <color theme="1"/>
        <rFont val="微軟正黑體"/>
        <family val="2"/>
        <charset val="136"/>
      </rPr>
      <t>板外
分割靶</t>
    </r>
    <phoneticPr fontId="1" type="noConversion"/>
  </si>
  <si>
    <t>貼A3</t>
    <phoneticPr fontId="1" type="noConversion"/>
  </si>
  <si>
    <t>貼G3</t>
    <phoneticPr fontId="1" type="noConversion"/>
  </si>
  <si>
    <t>貼O3</t>
    <phoneticPr fontId="1" type="noConversion"/>
  </si>
  <si>
    <r>
      <rPr>
        <b/>
        <sz val="16"/>
        <color theme="1"/>
        <rFont val="微軟正黑體"/>
        <family val="2"/>
        <charset val="136"/>
      </rPr>
      <t>選擇所需靶距</t>
    </r>
    <r>
      <rPr>
        <b/>
        <sz val="16"/>
        <color theme="1"/>
        <rFont val="Calibri"/>
        <family val="2"/>
      </rPr>
      <t>CHOOSE TARGET</t>
    </r>
    <phoneticPr fontId="1" type="noConversion"/>
  </si>
  <si>
    <t>機台</t>
    <phoneticPr fontId="1" type="noConversion"/>
  </si>
  <si>
    <t>IF(E16&gt;C10,IF(E16),IF(C11="",(E10-E16)/2-D21,(E10-E11)/2-D21))</t>
    <phoneticPr fontId="1" type="noConversion"/>
  </si>
  <si>
    <t>IF(E11="",IF(E16="",0,IF(E16&lt;E10,(E10-E16)/2-D21,(E10-E16)/2-D21)),IF(E11&lt;E10,(E10-E11)/2-D21,(E10-E11)/2-1D21)</t>
    <phoneticPr fontId="1" type="noConversion"/>
  </si>
  <si>
    <t>外靶-內把</t>
    <phoneticPr fontId="1" type="noConversion"/>
  </si>
  <si>
    <t>理想值-實際值</t>
    <phoneticPr fontId="1" type="noConversion"/>
  </si>
  <si>
    <t>扣出來是正</t>
    <phoneticPr fontId="1" type="noConversion"/>
  </si>
  <si>
    <r>
      <t>Y</t>
    </r>
    <r>
      <rPr>
        <sz val="12"/>
        <color theme="1"/>
        <rFont val="細明體"/>
        <family val="3"/>
        <charset val="136"/>
      </rPr>
      <t>要</t>
    </r>
    <r>
      <rPr>
        <sz val="12"/>
        <color theme="1"/>
        <rFont val="Calibri"/>
        <family val="2"/>
      </rPr>
      <t>+</t>
    </r>
    <phoneticPr fontId="1" type="noConversion"/>
  </si>
  <si>
    <r>
      <t>Y</t>
    </r>
    <r>
      <rPr>
        <sz val="12"/>
        <color theme="1"/>
        <rFont val="細明體"/>
        <family val="3"/>
        <charset val="136"/>
      </rPr>
      <t>+</t>
    </r>
    <phoneticPr fontId="1" type="noConversion"/>
  </si>
  <si>
    <t>X</t>
    <phoneticPr fontId="1" type="noConversion"/>
  </si>
  <si>
    <t>Y_L</t>
    <phoneticPr fontId="1" type="noConversion"/>
  </si>
  <si>
    <t>Y_R</t>
    <phoneticPr fontId="1" type="noConversion"/>
  </si>
  <si>
    <r>
      <rPr>
        <b/>
        <sz val="16"/>
        <color theme="1"/>
        <rFont val="微軟正黑體"/>
        <family val="2"/>
        <charset val="136"/>
      </rPr>
      <t>靶類型</t>
    </r>
    <phoneticPr fontId="1" type="noConversion"/>
  </si>
  <si>
    <r>
      <t>LAM</t>
    </r>
    <r>
      <rPr>
        <b/>
        <sz val="12"/>
        <color theme="1"/>
        <rFont val="微軟正黑體"/>
        <family val="2"/>
        <charset val="136"/>
      </rPr>
      <t>外四</t>
    </r>
    <phoneticPr fontId="1" type="noConversion"/>
  </si>
  <si>
    <r>
      <t>LAM</t>
    </r>
    <r>
      <rPr>
        <b/>
        <sz val="12"/>
        <color theme="1"/>
        <rFont val="微軟正黑體"/>
        <family val="2"/>
        <charset val="136"/>
      </rPr>
      <t>內四</t>
    </r>
    <phoneticPr fontId="1" type="noConversion"/>
  </si>
  <si>
    <r>
      <rPr>
        <b/>
        <sz val="12"/>
        <color theme="1"/>
        <rFont val="微軟正黑體"/>
        <family val="2"/>
        <charset val="136"/>
      </rPr>
      <t>分割靶</t>
    </r>
    <phoneticPr fontId="1" type="noConversion"/>
  </si>
  <si>
    <r>
      <rPr>
        <b/>
        <sz val="12"/>
        <color theme="1"/>
        <rFont val="微軟正黑體"/>
        <family val="2"/>
        <charset val="136"/>
      </rPr>
      <t>外分割</t>
    </r>
    <phoneticPr fontId="1" type="noConversion"/>
  </si>
  <si>
    <r>
      <rPr>
        <b/>
        <sz val="16"/>
        <color theme="1"/>
        <rFont val="微軟正黑體"/>
        <family val="2"/>
        <charset val="136"/>
      </rPr>
      <t>靶類型</t>
    </r>
    <phoneticPr fontId="1" type="noConversion"/>
  </si>
  <si>
    <r>
      <t>LAM</t>
    </r>
    <r>
      <rPr>
        <b/>
        <sz val="12"/>
        <color theme="1"/>
        <rFont val="微軟正黑體"/>
        <family val="2"/>
        <charset val="136"/>
      </rPr>
      <t>外四</t>
    </r>
    <phoneticPr fontId="1" type="noConversion"/>
  </si>
  <si>
    <r>
      <t>LAM</t>
    </r>
    <r>
      <rPr>
        <b/>
        <sz val="12"/>
        <color theme="1"/>
        <rFont val="微軟正黑體"/>
        <family val="2"/>
        <charset val="136"/>
      </rPr>
      <t>內四</t>
    </r>
    <phoneticPr fontId="1" type="noConversion"/>
  </si>
  <si>
    <r>
      <rPr>
        <b/>
        <sz val="12"/>
        <color theme="1"/>
        <rFont val="微軟正黑體"/>
        <family val="2"/>
        <charset val="136"/>
      </rPr>
      <t>分割靶</t>
    </r>
    <phoneticPr fontId="1" type="noConversion"/>
  </si>
  <si>
    <r>
      <rPr>
        <b/>
        <sz val="12"/>
        <color theme="1"/>
        <rFont val="微軟正黑體"/>
        <family val="2"/>
        <charset val="136"/>
      </rPr>
      <t>外分割</t>
    </r>
    <phoneticPr fontId="1" type="noConversion"/>
  </si>
  <si>
    <r>
      <t>LAM</t>
    </r>
    <r>
      <rPr>
        <b/>
        <sz val="12"/>
        <color theme="1"/>
        <rFont val="微軟正黑體"/>
        <family val="2"/>
        <charset val="136"/>
      </rPr>
      <t>內四</t>
    </r>
    <phoneticPr fontId="1" type="noConversion"/>
  </si>
  <si>
    <t>=</t>
    <phoneticPr fontId="1" type="noConversion"/>
  </si>
  <si>
    <t>設定排序</t>
    <phoneticPr fontId="1" type="noConversion"/>
  </si>
  <si>
    <t>設定排序</t>
    <phoneticPr fontId="1" type="noConversion"/>
  </si>
  <si>
    <t>密LAM</t>
    <phoneticPr fontId="1" type="noConversion"/>
  </si>
  <si>
    <t>扣出來+</t>
    <phoneticPr fontId="1" type="noConversion"/>
  </si>
  <si>
    <t>是否可以一次打完</t>
    <phoneticPr fontId="1" type="noConversion"/>
  </si>
  <si>
    <t>12VP22158II</t>
  </si>
  <si>
    <t>壓合靶距:&lt;/a&gt;&lt;table border=1 BORDER=1 CELLSPACING=0 CELLPADDING=0 WIDTH=100% &gt;&lt;tr bgcolor=#CCFFFF&gt;</t>
  </si>
  <si>
    <t>PRODAREA</t>
    <phoneticPr fontId="1" type="noConversion"/>
  </si>
  <si>
    <t>PARTNO</t>
    <phoneticPr fontId="1" type="noConversion"/>
  </si>
  <si>
    <t>STAGE</t>
    <phoneticPr fontId="1" type="noConversion"/>
  </si>
  <si>
    <t>TARGET_PROGRAM</t>
    <phoneticPr fontId="1" type="noConversion"/>
  </si>
  <si>
    <t>UNIT</t>
    <phoneticPr fontId="1" type="noConversion"/>
  </si>
  <si>
    <t>THREE_SHORT_LA</t>
    <phoneticPr fontId="1" type="noConversion"/>
  </si>
  <si>
    <t>THREE_SHORT_LB</t>
    <phoneticPr fontId="1" type="noConversion"/>
  </si>
  <si>
    <t>THREE_LONG_LA_MID</t>
    <phoneticPr fontId="1" type="noConversion"/>
  </si>
  <si>
    <t>THREE_LONG_LB_MID</t>
    <phoneticPr fontId="1" type="noConversion"/>
  </si>
  <si>
    <t>FOUR_LONG_LA_LEFT</t>
    <phoneticPr fontId="1" type="noConversion"/>
  </si>
  <si>
    <t>FOUR_LONG_LB_LEFT</t>
    <phoneticPr fontId="1" type="noConversion"/>
  </si>
  <si>
    <t>FOUR_LONG_LA_RIGH</t>
    <phoneticPr fontId="1" type="noConversion"/>
  </si>
  <si>
    <t>FOUR_LONG_LB_RIGH</t>
    <phoneticPr fontId="1" type="noConversion"/>
  </si>
  <si>
    <t>FOUR_LONG_RIGH</t>
    <phoneticPr fontId="1" type="noConversion"/>
  </si>
  <si>
    <t>FOUR_SHORT_LA_RIGH</t>
    <phoneticPr fontId="1" type="noConversion"/>
  </si>
  <si>
    <t>FOUR_SHORT_LB_RIGH</t>
    <phoneticPr fontId="1" type="noConversion"/>
  </si>
  <si>
    <t>EDITLOG</t>
    <phoneticPr fontId="1" type="noConversion"/>
  </si>
  <si>
    <t>TARGETSTAGE</t>
    <phoneticPr fontId="1" type="noConversion"/>
  </si>
  <si>
    <t>TSUB_PROGRAM</t>
    <phoneticPr fontId="1" type="noConversion"/>
  </si>
  <si>
    <t>RUNCARD9</t>
    <phoneticPr fontId="1" type="noConversion"/>
  </si>
  <si>
    <t>12VP22158II</t>
    <phoneticPr fontId="1" type="noConversion"/>
  </si>
  <si>
    <t>ENGTARGET</t>
    <phoneticPr fontId="1" type="noConversion"/>
  </si>
  <si>
    <t>HAK1</t>
    <phoneticPr fontId="1" type="noConversion"/>
  </si>
  <si>
    <t>mm</t>
    <phoneticPr fontId="1" type="noConversion"/>
  </si>
  <si>
    <t>L1</t>
    <phoneticPr fontId="1" type="noConversion"/>
  </si>
  <si>
    <t>L12</t>
    <phoneticPr fontId="1" type="noConversion"/>
  </si>
  <si>
    <t xml:space="preserve"> </t>
    <phoneticPr fontId="1" type="noConversion"/>
  </si>
  <si>
    <t>2021/04/29/15:43~00112馮秋梅10.12.67.164</t>
    <phoneticPr fontId="1" type="noConversion"/>
  </si>
  <si>
    <t>OU1</t>
    <phoneticPr fontId="1" type="noConversion"/>
  </si>
  <si>
    <t>T49</t>
  </si>
  <si>
    <t>L9</t>
  </si>
  <si>
    <t>2T49</t>
  </si>
  <si>
    <t>T3A</t>
    <phoneticPr fontId="1" type="noConversion"/>
  </si>
  <si>
    <t>L3</t>
    <phoneticPr fontId="1" type="noConversion"/>
  </si>
  <si>
    <t>L10</t>
    <phoneticPr fontId="1" type="noConversion"/>
  </si>
  <si>
    <t>IN3</t>
    <phoneticPr fontId="1" type="noConversion"/>
  </si>
  <si>
    <t>2T3A</t>
    <phoneticPr fontId="1" type="noConversion"/>
  </si>
  <si>
    <t>RTAG</t>
    <phoneticPr fontId="1" type="noConversion"/>
  </si>
  <si>
    <t>2T2B</t>
    <phoneticPr fontId="1" type="noConversion"/>
  </si>
  <si>
    <t>L2</t>
    <phoneticPr fontId="1" type="noConversion"/>
  </si>
  <si>
    <t>L11</t>
    <phoneticPr fontId="1" type="noConversion"/>
  </si>
  <si>
    <t>IN4</t>
    <phoneticPr fontId="1" type="noConversion"/>
  </si>
  <si>
    <t>TAG</t>
    <phoneticPr fontId="1" type="noConversion"/>
  </si>
  <si>
    <t>2TAG</t>
    <phoneticPr fontId="1" type="noConversion"/>
  </si>
  <si>
    <t>RT49</t>
    <phoneticPr fontId="1" type="noConversion"/>
  </si>
  <si>
    <t>L4</t>
    <phoneticPr fontId="1" type="noConversion"/>
  </si>
  <si>
    <t>L9</t>
    <phoneticPr fontId="1" type="noConversion"/>
  </si>
  <si>
    <t>IN2</t>
    <phoneticPr fontId="1" type="noConversion"/>
  </si>
  <si>
    <t>RT3A</t>
    <phoneticPr fontId="1" type="noConversion"/>
  </si>
  <si>
    <t>RT2B</t>
  </si>
  <si>
    <t>T2B</t>
    <phoneticPr fontId="1" type="noConversion"/>
  </si>
  <si>
    <t>HAK</t>
    <phoneticPr fontId="1" type="noConversion"/>
  </si>
  <si>
    <t xml:space="preserve"> &lt;/tr&gt;&lt;</t>
    <phoneticPr fontId="1" type="noConversion"/>
  </si>
  <si>
    <t xml:space="preserve">                                                   </t>
  </si>
  <si>
    <t xml:space="preserve">   |        | Y1:254.412              Y1':254.412 |        |            |--------------------------|</t>
  </si>
  <si>
    <t xml:space="preserve">   |        |   |                             |   |        |            | Y1:254.412 | Y1':254.412 |</t>
  </si>
  <si>
    <t xml:space="preserve">   |        | Y:381.618                 Y:381.618 |        | </t>
  </si>
  <si>
    <t xml:space="preserve">                    | 98.141                            |</t>
  </si>
  <si>
    <t xml:space="preserve">                    |--------------483.311--------------|</t>
  </si>
  <si>
    <t xml:space="preserve">                     10vpd7095ce T47 in</t>
  </si>
  <si>
    <t xml:space="preserve">  --------  |   @----------X1:385.171---------@   |  --------           ----------------------------</t>
  </si>
  <si>
    <t xml:space="preserve">   |        |   |                             |   |        |            | X1:385.171               |</t>
  </si>
  <si>
    <t xml:space="preserve">   |        |   |                             |   |        |            | X2:385.171               |</t>
  </si>
  <si>
    <t xml:space="preserve">   |        |   |                             |   |        |            | X3:385.171               |</t>
  </si>
  <si>
    <t>Y2:636.030  |   @----------X2:385.171---------@   |  Y2':636.030        | Y2:636.030 | Y2':636.030 |</t>
  </si>
  <si>
    <t xml:space="preserve">  --------  |   @----------X3:385.171---------@   |  --------</t>
  </si>
  <si>
    <t xml:space="preserve">  --------  |   @----------X1:528.340---------@   |  --------           ----------------------------</t>
  </si>
  <si>
    <t xml:space="preserve">   |        |   |                             |   |        |            | X1:528.340               |</t>
  </si>
  <si>
    <t xml:space="preserve">   |        |   |                             |   |        |            | X2:528.340               |</t>
  </si>
  <si>
    <t xml:space="preserve">   |        |   |                             |   |        |            | X3:528.340               |</t>
  </si>
  <si>
    <t xml:space="preserve">  --------  |   @----------X3:528.340---------@   |  --------</t>
  </si>
  <si>
    <t>板外分割</t>
    <phoneticPr fontId="1" type="noConversion"/>
  </si>
  <si>
    <t>板外分割</t>
    <phoneticPr fontId="1" type="noConversion"/>
  </si>
  <si>
    <t>Shift X</t>
    <phoneticPr fontId="1" type="noConversion"/>
  </si>
  <si>
    <t xml:space="preserve">                      06ik67046db T25 out</t>
  </si>
  <si>
    <t xml:space="preserve">   |        | Y1:173.310              Y1':170.310 |        |            |--------------------------|</t>
  </si>
  <si>
    <t xml:space="preserve">   |        |   |                             |   |        |            | Y1:173.310 | Y1':170.310 |</t>
  </si>
  <si>
    <t>Y2:589.395  |   @----------X2:528.340---------@   |  Y2':586.395        | Y2:589.395 | Y2':586.395 |</t>
  </si>
  <si>
    <t xml:space="preserve">   |        | Y:416.085                 Y:416.085 |        | </t>
  </si>
  <si>
    <t xml:space="preserve">                                 10vpd7095ce t47</t>
  </si>
  <si>
    <t xml:space="preserve">             |      @------------------581.452-----------------@      |</t>
  </si>
  <si>
    <t xml:space="preserve"> ------------|      |      @----------X1:385.171--------@      |      |</t>
  </si>
  <si>
    <t xml:space="preserve">  |          |      |      |                            |      |      |</t>
  </si>
  <si>
    <t xml:space="preserve">  |          |   574.370   |                            |   571.370   |</t>
  </si>
  <si>
    <t xml:space="preserve">  |          |      |  Y1:636.030                  Y2:636.030  |      |</t>
  </si>
  <si>
    <t xml:space="preserve"> 606.700     |      |      |                            |      |      |</t>
  </si>
  <si>
    <t xml:space="preserve">  |   -------|      |      @----------X2:385.171--------@      |      |</t>
  </si>
  <si>
    <t xml:space="preserve">  |    |     |      |                                          |      |</t>
  </si>
  <si>
    <t xml:space="preserve">  |  -29.328 |      |                                          |      |</t>
  </si>
  <si>
    <t xml:space="preserve"> ------------|      @------------------581.452-----------------@      |</t>
  </si>
  <si>
    <t xml:space="preserve">                    |      |                            |     units=mm</t>
  </si>
  <si>
    <t>NA</t>
  </si>
  <si>
    <t>重新操作一次↓</t>
    <phoneticPr fontId="1" type="noConversion"/>
  </si>
  <si>
    <t>設定排序(分割)</t>
    <phoneticPr fontId="1" type="noConversion"/>
  </si>
  <si>
    <r>
      <rPr>
        <b/>
        <sz val="18"/>
        <color theme="1"/>
        <rFont val="微軟正黑體"/>
        <family val="2"/>
        <charset val="136"/>
      </rPr>
      <t>設定排序</t>
    </r>
    <phoneticPr fontId="1" type="noConversion"/>
  </si>
  <si>
    <r>
      <rPr>
        <b/>
        <sz val="18"/>
        <color theme="1"/>
        <rFont val="微軟正黑體"/>
        <family val="2"/>
        <charset val="136"/>
      </rPr>
      <t>設定排序</t>
    </r>
    <phoneticPr fontId="1" type="noConversion"/>
  </si>
  <si>
    <t>求y最大值</t>
    <phoneticPr fontId="1" type="noConversion"/>
  </si>
  <si>
    <t>求x最小值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</si>
</sst>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_ "/>
    <numFmt numFmtId="177" formatCode="0.000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ㄇ"/>
      <family val="3"/>
      <charset val="136"/>
    </font>
    <font>
      <sz val="12"/>
      <color theme="1"/>
      <name val="Calibri"/>
      <family val="2"/>
    </font>
    <font>
      <sz val="12"/>
      <color theme="1"/>
      <name val="細明體"/>
      <family val="3"/>
      <charset val="136"/>
    </font>
    <font>
      <b/>
      <sz val="12"/>
      <color theme="1"/>
      <name val="Calibri"/>
      <family val="2"/>
    </font>
    <font>
      <b/>
      <sz val="12"/>
      <color theme="1"/>
      <name val="ㄇ"/>
      <family val="3"/>
      <charset val="136"/>
    </font>
    <font>
      <b/>
      <sz val="12"/>
      <color theme="1"/>
      <name val="細明體"/>
      <family val="3"/>
      <charset val="136"/>
    </font>
    <font>
      <b/>
      <sz val="16"/>
      <color theme="1"/>
      <name val="Calibri"/>
      <family val="2"/>
    </font>
    <font>
      <b/>
      <sz val="16"/>
      <color theme="1"/>
      <name val="細明體"/>
      <family val="3"/>
      <charset val="136"/>
    </font>
    <font>
      <sz val="12"/>
      <color rgb="FFFF0000"/>
      <name val="Calibri"/>
      <family val="2"/>
    </font>
    <font>
      <sz val="10"/>
      <color theme="1"/>
      <name val="Arial Unicode MS"/>
      <family val="2"/>
      <charset val="136"/>
    </font>
    <font>
      <sz val="8"/>
      <color theme="1"/>
      <name val="微軟正黑體"/>
      <family val="2"/>
      <charset val="136"/>
    </font>
    <font>
      <sz val="10"/>
      <color rgb="FF0000FF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4"/>
      <color theme="1"/>
      <name val="Calibri"/>
      <family val="2"/>
    </font>
    <font>
      <sz val="16"/>
      <color theme="1"/>
      <name val="Calibri"/>
      <family val="2"/>
    </font>
    <font>
      <b/>
      <sz val="14"/>
      <color theme="1"/>
      <name val="NSimSun"/>
      <family val="3"/>
      <charset val="134"/>
    </font>
    <font>
      <b/>
      <sz val="14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8"/>
      <color theme="1"/>
      <name val="Calibri"/>
      <family val="2"/>
    </font>
    <font>
      <b/>
      <sz val="18"/>
      <color theme="1"/>
      <name val="微軟正黑體"/>
      <family val="2"/>
      <charset val="136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DAD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DAD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2CD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6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>
      <alignment vertical="center"/>
    </xf>
    <xf numFmtId="0" fontId="8" fillId="4" borderId="5" xfId="0" applyFont="1" applyFill="1" applyBorder="1">
      <alignment vertical="center"/>
    </xf>
    <xf numFmtId="0" fontId="8" fillId="4" borderId="6" xfId="0" applyFont="1" applyFill="1" applyBorder="1">
      <alignment vertical="center"/>
    </xf>
    <xf numFmtId="0" fontId="9" fillId="4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12" borderId="12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15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5" fillId="4" borderId="30" xfId="0" applyFont="1" applyFill="1" applyBorder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176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4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Border="1">
      <alignment vertical="center"/>
    </xf>
    <xf numFmtId="0" fontId="14" fillId="0" borderId="20" xfId="0" applyFont="1" applyBorder="1">
      <alignment vertical="center"/>
    </xf>
    <xf numFmtId="0" fontId="5" fillId="13" borderId="25" xfId="0" applyFont="1" applyFill="1" applyBorder="1" applyAlignment="1" applyProtection="1">
      <alignment horizontal="center" vertical="center"/>
      <protection hidden="1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0" xfId="0" applyFont="1" applyBorder="1">
      <alignment vertical="center"/>
    </xf>
    <xf numFmtId="0" fontId="3" fillId="0" borderId="0" xfId="0" applyFont="1" applyBorder="1">
      <alignment vertical="center"/>
    </xf>
    <xf numFmtId="0" fontId="5" fillId="13" borderId="1" xfId="0" applyFont="1" applyFill="1" applyBorder="1" applyAlignment="1" applyProtection="1">
      <alignment horizontal="center" vertical="center"/>
      <protection hidden="1"/>
    </xf>
    <xf numFmtId="0" fontId="5" fillId="13" borderId="32" xfId="0" applyFont="1" applyFill="1" applyBorder="1" applyAlignment="1" applyProtection="1">
      <alignment horizontal="center" vertical="center"/>
      <protection hidden="1"/>
    </xf>
    <xf numFmtId="0" fontId="5" fillId="13" borderId="25" xfId="0" applyFont="1" applyFill="1" applyBorder="1" applyAlignment="1">
      <alignment horizontal="center" vertical="center"/>
    </xf>
    <xf numFmtId="0" fontId="5" fillId="13" borderId="33" xfId="0" applyFont="1" applyFill="1" applyBorder="1" applyAlignment="1">
      <alignment horizontal="center" vertical="center"/>
    </xf>
    <xf numFmtId="0" fontId="5" fillId="13" borderId="33" xfId="0" applyFont="1" applyFill="1" applyBorder="1" applyAlignment="1" applyProtection="1">
      <alignment horizontal="center" vertical="center"/>
      <protection hidden="1"/>
    </xf>
    <xf numFmtId="0" fontId="8" fillId="3" borderId="16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1" xfId="0" applyFont="1" applyFill="1" applyBorder="1" applyAlignment="1">
      <alignment horizontal="center" vertical="center"/>
    </xf>
    <xf numFmtId="0" fontId="8" fillId="3" borderId="26" xfId="0" applyFont="1" applyFill="1" applyBorder="1" applyAlignment="1">
      <alignment horizontal="center" vertical="center"/>
    </xf>
    <xf numFmtId="0" fontId="18" fillId="4" borderId="28" xfId="0" applyFont="1" applyFill="1" applyBorder="1" applyAlignment="1">
      <alignment horizontal="center" vertical="center"/>
    </xf>
    <xf numFmtId="177" fontId="3" fillId="9" borderId="1" xfId="0" applyNumberFormat="1" applyFont="1" applyFill="1" applyBorder="1" applyAlignment="1">
      <alignment horizontal="right" vertical="center"/>
    </xf>
    <xf numFmtId="0" fontId="3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177" fontId="3" fillId="10" borderId="1" xfId="0" applyNumberFormat="1" applyFont="1" applyFill="1" applyBorder="1" applyAlignment="1">
      <alignment horizontal="center" vertical="center"/>
    </xf>
    <xf numFmtId="2" fontId="3" fillId="10" borderId="1" xfId="0" applyNumberFormat="1" applyFont="1" applyFill="1" applyBorder="1" applyAlignment="1">
      <alignment horizontal="center" vertical="center"/>
    </xf>
    <xf numFmtId="177" fontId="3" fillId="9" borderId="1" xfId="0" applyNumberFormat="1" applyFont="1" applyFill="1" applyBorder="1" applyAlignment="1">
      <alignment horizontal="center" vertical="center"/>
    </xf>
    <xf numFmtId="177" fontId="3" fillId="0" borderId="0" xfId="0" applyNumberFormat="1" applyFont="1">
      <alignment vertical="center"/>
    </xf>
    <xf numFmtId="0" fontId="5" fillId="9" borderId="1" xfId="0" applyFont="1" applyFill="1" applyBorder="1" applyAlignment="1">
      <alignment horizontal="center" vertical="center"/>
    </xf>
    <xf numFmtId="177" fontId="3" fillId="10" borderId="8" xfId="0" applyNumberFormat="1" applyFont="1" applyFill="1" applyBorder="1" applyAlignment="1">
      <alignment horizontal="center" vertical="center"/>
    </xf>
    <xf numFmtId="177" fontId="3" fillId="9" borderId="8" xfId="0" applyNumberFormat="1" applyFont="1" applyFill="1" applyBorder="1" applyAlignment="1">
      <alignment horizontal="center" vertical="center"/>
    </xf>
    <xf numFmtId="177" fontId="3" fillId="8" borderId="1" xfId="0" applyNumberFormat="1" applyFont="1" applyFill="1" applyBorder="1" applyAlignment="1">
      <alignment horizontal="center" vertical="center"/>
    </xf>
    <xf numFmtId="177" fontId="3" fillId="0" borderId="0" xfId="0" applyNumberFormat="1" applyFont="1" applyAlignment="1" applyProtection="1">
      <alignment horizontal="right" vertical="center"/>
    </xf>
    <xf numFmtId="176" fontId="3" fillId="0" borderId="0" xfId="0" applyNumberFormat="1" applyFont="1" applyAlignment="1" applyProtection="1">
      <alignment horizontal="right" vertical="center"/>
    </xf>
    <xf numFmtId="0" fontId="3" fillId="0" borderId="0" xfId="0" applyFont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177" fontId="3" fillId="3" borderId="1" xfId="0" applyNumberFormat="1" applyFont="1" applyFill="1" applyBorder="1" applyAlignment="1" applyProtection="1">
      <alignment horizontal="center" vertical="center"/>
    </xf>
    <xf numFmtId="177" fontId="3" fillId="3" borderId="2" xfId="0" applyNumberFormat="1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2" fontId="3" fillId="8" borderId="1" xfId="0" applyNumberFormat="1" applyFont="1" applyFill="1" applyBorder="1" applyAlignment="1" applyProtection="1">
      <alignment horizontal="center" vertical="center"/>
    </xf>
    <xf numFmtId="2" fontId="3" fillId="9" borderId="1" xfId="0" applyNumberFormat="1" applyFont="1" applyFill="1" applyBorder="1" applyAlignment="1" applyProtection="1">
      <alignment horizontal="center" vertical="center"/>
    </xf>
    <xf numFmtId="0" fontId="3" fillId="0" borderId="34" xfId="0" applyFont="1" applyBorder="1">
      <alignment vertical="center"/>
    </xf>
    <xf numFmtId="0" fontId="4" fillId="0" borderId="17" xfId="0" applyFont="1" applyBorder="1">
      <alignment vertical="center"/>
    </xf>
    <xf numFmtId="0" fontId="3" fillId="0" borderId="17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21" fillId="0" borderId="20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19" xfId="0" applyFont="1" applyBorder="1" applyAlignment="1">
      <alignment horizontal="right" vertical="center"/>
    </xf>
    <xf numFmtId="0" fontId="3" fillId="0" borderId="21" xfId="0" applyFont="1" applyBorder="1">
      <alignment vertical="center"/>
    </xf>
    <xf numFmtId="0" fontId="3" fillId="0" borderId="22" xfId="0" applyFont="1" applyBorder="1">
      <alignment vertical="center"/>
    </xf>
    <xf numFmtId="0" fontId="3" fillId="0" borderId="23" xfId="0" applyFont="1" applyBorder="1">
      <alignment vertical="center"/>
    </xf>
    <xf numFmtId="0" fontId="11" fillId="0" borderId="0" xfId="0" applyFont="1">
      <alignment vertical="center"/>
    </xf>
    <xf numFmtId="0" fontId="5" fillId="13" borderId="27" xfId="0" applyFont="1" applyFill="1" applyBorder="1" applyAlignment="1">
      <alignment horizontal="center" vertical="center"/>
    </xf>
    <xf numFmtId="0" fontId="8" fillId="15" borderId="16" xfId="0" applyFont="1" applyFill="1" applyBorder="1" applyAlignment="1">
      <alignment horizontal="center" vertical="center"/>
    </xf>
    <xf numFmtId="0" fontId="8" fillId="15" borderId="5" xfId="0" applyFont="1" applyFill="1" applyBorder="1" applyAlignment="1">
      <alignment horizontal="center" vertical="center"/>
    </xf>
    <xf numFmtId="0" fontId="8" fillId="15" borderId="6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5" fillId="13" borderId="0" xfId="0" applyFont="1" applyFill="1" applyBorder="1" applyAlignment="1">
      <alignment horizontal="center" vertical="center"/>
    </xf>
    <xf numFmtId="0" fontId="8" fillId="15" borderId="20" xfId="0" applyFont="1" applyFill="1" applyBorder="1" applyAlignment="1">
      <alignment vertical="center" wrapText="1"/>
    </xf>
    <xf numFmtId="0" fontId="8" fillId="15" borderId="26" xfId="0" applyFont="1" applyFill="1" applyBorder="1" applyAlignment="1">
      <alignment horizontal="center" vertical="center" wrapText="1"/>
    </xf>
    <xf numFmtId="177" fontId="14" fillId="0" borderId="0" xfId="0" applyNumberFormat="1" applyFont="1" applyAlignment="1">
      <alignment horizontal="right" vertical="center"/>
    </xf>
    <xf numFmtId="0" fontId="0" fillId="13" borderId="0" xfId="0" applyFill="1">
      <alignment vertical="center"/>
    </xf>
    <xf numFmtId="177" fontId="0" fillId="13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16" borderId="0" xfId="0" applyFill="1">
      <alignment vertical="center"/>
    </xf>
    <xf numFmtId="177" fontId="0" fillId="16" borderId="0" xfId="0" applyNumberFormat="1" applyFill="1" applyAlignment="1">
      <alignment horizontal="right" vertical="center"/>
    </xf>
    <xf numFmtId="0" fontId="20" fillId="16" borderId="0" xfId="0" applyFont="1" applyFill="1">
      <alignment vertical="center"/>
    </xf>
    <xf numFmtId="0" fontId="22" fillId="14" borderId="1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horizontal="center" vertical="center"/>
    </xf>
    <xf numFmtId="0" fontId="18" fillId="4" borderId="6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20" fillId="15" borderId="1" xfId="0" applyFont="1" applyFill="1" applyBorder="1" applyAlignment="1">
      <alignment horizontal="center" vertical="center" wrapText="1"/>
    </xf>
    <xf numFmtId="0" fontId="20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14" fillId="12" borderId="13" xfId="0" applyFont="1" applyFill="1" applyBorder="1" applyAlignment="1">
      <alignment horizontal="left" vertical="center"/>
    </xf>
    <xf numFmtId="0" fontId="14" fillId="12" borderId="14" xfId="0" applyFont="1" applyFill="1" applyBorder="1" applyAlignment="1">
      <alignment horizontal="left" vertical="center"/>
    </xf>
    <xf numFmtId="0" fontId="14" fillId="12" borderId="15" xfId="0" applyFont="1" applyFill="1" applyBorder="1" applyAlignment="1">
      <alignment horizontal="left" vertical="center"/>
    </xf>
    <xf numFmtId="0" fontId="14" fillId="12" borderId="13" xfId="0" applyFont="1" applyFill="1" applyBorder="1" applyAlignment="1">
      <alignment horizontal="center" vertical="center"/>
    </xf>
    <xf numFmtId="0" fontId="14" fillId="12" borderId="15" xfId="0" applyFont="1" applyFill="1" applyBorder="1" applyAlignment="1">
      <alignment horizontal="center" vertical="center"/>
    </xf>
  </cellXfs>
  <cellStyles count="1">
    <cellStyle name="一般" xfId="0" builtinId="0"/>
  </cellStyles>
  <dxfs count="8"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u val="none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u val="none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u val="none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u val="none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  <color rgb="FFFFF2CD"/>
      <color rgb="FFCC3300"/>
      <color rgb="FFCC0000"/>
      <color rgb="FFFFF2CC"/>
      <color rgb="FFFCDAD6"/>
      <color rgb="FFFCDAD5"/>
      <color rgb="FFFF99FF"/>
      <color rgb="FFED7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381000</xdr:colOff>
      <xdr:row>36</xdr:row>
      <xdr:rowOff>0</xdr:rowOff>
    </xdr:from>
    <xdr:to>
      <xdr:col>10</xdr:col>
      <xdr:colOff>657646</xdr:colOff>
      <xdr:row>38</xdr:row>
      <xdr:rowOff>140467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0" y="7543800"/>
          <a:ext cx="3019846" cy="543001"/>
        </a:xfrm>
        <a:prstGeom prst="rect">
          <a:avLst/>
        </a:prstGeom>
      </xdr:spPr>
    </xdr:pic>
    <xdr:clientData/>
  </xdr:twoCellAnchor>
  <xdr:twoCellAnchor>
    <xdr:from>
      <xdr:col>6</xdr:col>
      <xdr:colOff>161925</xdr:colOff>
      <xdr:row>33</xdr:row>
      <xdr:rowOff>142876</xdr:rowOff>
    </xdr:from>
    <xdr:to>
      <xdr:col>15</xdr:col>
      <xdr:colOff>381000</xdr:colOff>
      <xdr:row>39</xdr:row>
      <xdr:rowOff>200026</xdr:rowOff>
    </xdr:to>
    <xdr:sp macro="" textlink="">
      <xdr:nvSpPr>
        <xdr:cNvPr id="3" name="矩形 2"/>
        <xdr:cNvSpPr/>
      </xdr:nvSpPr>
      <xdr:spPr>
        <a:xfrm>
          <a:off x="4276725" y="7067551"/>
          <a:ext cx="6391275" cy="1314450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0</xdr:colOff>
      <xdr:row>2</xdr:row>
      <xdr:rowOff>1</xdr:rowOff>
    </xdr:from>
    <xdr:to>
      <xdr:col>5</xdr:col>
      <xdr:colOff>22411</xdr:colOff>
      <xdr:row>42</xdr:row>
      <xdr:rowOff>56030</xdr:rowOff>
    </xdr:to>
    <xdr:sp macro="" textlink="">
      <xdr:nvSpPr>
        <xdr:cNvPr id="4" name="矩形 3"/>
        <xdr:cNvSpPr/>
      </xdr:nvSpPr>
      <xdr:spPr>
        <a:xfrm>
          <a:off x="0" y="414619"/>
          <a:ext cx="3585882" cy="8146676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667578</xdr:colOff>
      <xdr:row>2</xdr:row>
      <xdr:rowOff>22363</xdr:rowOff>
    </xdr:from>
    <xdr:to>
      <xdr:col>13</xdr:col>
      <xdr:colOff>515178</xdr:colOff>
      <xdr:row>27</xdr:row>
      <xdr:rowOff>97320</xdr:rowOff>
    </xdr:to>
    <xdr:sp macro="" textlink="">
      <xdr:nvSpPr>
        <xdr:cNvPr id="5" name="矩形 4"/>
        <xdr:cNvSpPr/>
      </xdr:nvSpPr>
      <xdr:spPr>
        <a:xfrm>
          <a:off x="4229100" y="428211"/>
          <a:ext cx="5347252" cy="5044522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664265</xdr:colOff>
      <xdr:row>1</xdr:row>
      <xdr:rowOff>195056</xdr:rowOff>
    </xdr:from>
    <xdr:to>
      <xdr:col>21</xdr:col>
      <xdr:colOff>569015</xdr:colOff>
      <xdr:row>27</xdr:row>
      <xdr:rowOff>34372</xdr:rowOff>
    </xdr:to>
    <xdr:sp macro="" textlink="">
      <xdr:nvSpPr>
        <xdr:cNvPr id="6" name="矩形 5"/>
        <xdr:cNvSpPr/>
      </xdr:nvSpPr>
      <xdr:spPr>
        <a:xfrm>
          <a:off x="9725439" y="402121"/>
          <a:ext cx="5404402" cy="5007664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0</xdr:colOff>
      <xdr:row>45</xdr:row>
      <xdr:rowOff>180975</xdr:rowOff>
    </xdr:from>
    <xdr:to>
      <xdr:col>5</xdr:col>
      <xdr:colOff>676275</xdr:colOff>
      <xdr:row>46</xdr:row>
      <xdr:rowOff>331425</xdr:rowOff>
    </xdr:to>
    <xdr:sp macro="[0]!FVkeyin" textlink="">
      <xdr:nvSpPr>
        <xdr:cNvPr id="9" name="圓角矩形 8"/>
        <xdr:cNvSpPr/>
      </xdr:nvSpPr>
      <xdr:spPr>
        <a:xfrm>
          <a:off x="2743200" y="9620250"/>
          <a:ext cx="1362075" cy="360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cap="rnd">
          <a:rou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輸入</a:t>
          </a:r>
          <a:r>
            <a:rPr lang="en-US" altLang="zh-TW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Enter</a:t>
          </a:r>
          <a:endParaRPr lang="zh-TW" altLang="en-US" sz="1400" b="1">
            <a:solidFill>
              <a:schemeClr val="tx1"/>
            </a:solidFill>
            <a:latin typeface="+mj-lt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4</xdr:col>
      <xdr:colOff>0</xdr:colOff>
      <xdr:row>51</xdr:row>
      <xdr:rowOff>38100</xdr:rowOff>
    </xdr:from>
    <xdr:to>
      <xdr:col>5</xdr:col>
      <xdr:colOff>676275</xdr:colOff>
      <xdr:row>51</xdr:row>
      <xdr:rowOff>398100</xdr:rowOff>
    </xdr:to>
    <xdr:sp macro="[0]!LAM外靶" textlink="">
      <xdr:nvSpPr>
        <xdr:cNvPr id="10" name="圓角矩形 9"/>
        <xdr:cNvSpPr/>
      </xdr:nvSpPr>
      <xdr:spPr>
        <a:xfrm>
          <a:off x="2743200" y="11001375"/>
          <a:ext cx="1362075" cy="360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75000"/>
              </a:schemeClr>
            </a:gs>
          </a:gsLst>
          <a:lin ang="10800000" scaled="1"/>
          <a:tileRect/>
        </a:gradFill>
        <a:ln cap="rnd">
          <a:rou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  <a:cs typeface="Arial Unicode MS" panose="020B0604020202020204" pitchFamily="34" charset="-120"/>
            </a:rPr>
            <a:t>輸入</a:t>
          </a:r>
          <a:r>
            <a:rPr lang="en-US" altLang="zh-TW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  <a:cs typeface="Arial Unicode MS" panose="020B0604020202020204" pitchFamily="34" charset="-120"/>
            </a:rPr>
            <a:t>Enter</a:t>
          </a:r>
          <a:endParaRPr lang="zh-TW" altLang="en-US" sz="1400" b="1">
            <a:solidFill>
              <a:schemeClr val="tx1"/>
            </a:solidFill>
            <a:latin typeface="+mj-lt"/>
            <a:ea typeface="微軟正黑體" panose="020B0604030504040204" pitchFamily="34" charset="-120"/>
            <a:cs typeface="Arial Unicode MS" panose="020B0604020202020204" pitchFamily="34" charset="-120"/>
          </a:endParaRPr>
        </a:p>
      </xdr:txBody>
    </xdr:sp>
    <xdr:clientData/>
  </xdr:twoCellAnchor>
  <xdr:twoCellAnchor>
    <xdr:from>
      <xdr:col>4</xdr:col>
      <xdr:colOff>9525</xdr:colOff>
      <xdr:row>52</xdr:row>
      <xdr:rowOff>142875</xdr:rowOff>
    </xdr:from>
    <xdr:to>
      <xdr:col>6</xdr:col>
      <xdr:colOff>0</xdr:colOff>
      <xdr:row>53</xdr:row>
      <xdr:rowOff>74250</xdr:rowOff>
    </xdr:to>
    <xdr:sp macro="[0]!LAM板內" textlink="">
      <xdr:nvSpPr>
        <xdr:cNvPr id="11" name="圓角矩形 10"/>
        <xdr:cNvSpPr/>
      </xdr:nvSpPr>
      <xdr:spPr>
        <a:xfrm>
          <a:off x="2847975" y="11668125"/>
          <a:ext cx="1362075" cy="360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75000"/>
              </a:schemeClr>
            </a:gs>
          </a:gsLst>
          <a:lin ang="13500000" scaled="1"/>
          <a:tileRect/>
        </a:gradFill>
        <a:ln cap="rnd">
          <a:rou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  <a:cs typeface="Arial Unicode MS" panose="020B0604020202020204" pitchFamily="34" charset="-120"/>
            </a:rPr>
            <a:t>輸入</a:t>
          </a:r>
          <a:r>
            <a:rPr lang="en-US" altLang="zh-TW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  <a:cs typeface="Arial Unicode MS" panose="020B0604020202020204" pitchFamily="34" charset="-120"/>
            </a:rPr>
            <a:t>Enter</a:t>
          </a:r>
          <a:endParaRPr lang="zh-TW" altLang="en-US" sz="1400" b="1">
            <a:solidFill>
              <a:schemeClr val="tx1"/>
            </a:solidFill>
            <a:latin typeface="+mj-lt"/>
            <a:ea typeface="微軟正黑體" panose="020B0604030504040204" pitchFamily="34" charset="-120"/>
            <a:cs typeface="Arial Unicode MS" panose="020B0604020202020204" pitchFamily="34" charset="-120"/>
          </a:endParaRPr>
        </a:p>
      </xdr:txBody>
    </xdr:sp>
    <xdr:clientData/>
  </xdr:twoCellAnchor>
  <xdr:twoCellAnchor>
    <xdr:from>
      <xdr:col>4</xdr:col>
      <xdr:colOff>0</xdr:colOff>
      <xdr:row>63</xdr:row>
      <xdr:rowOff>190500</xdr:rowOff>
    </xdr:from>
    <xdr:to>
      <xdr:col>5</xdr:col>
      <xdr:colOff>676275</xdr:colOff>
      <xdr:row>64</xdr:row>
      <xdr:rowOff>274275</xdr:rowOff>
    </xdr:to>
    <xdr:sp macro="[0]!板內分割keyin" textlink="">
      <xdr:nvSpPr>
        <xdr:cNvPr id="12" name="圓角矩形 11"/>
        <xdr:cNvSpPr/>
      </xdr:nvSpPr>
      <xdr:spPr>
        <a:xfrm>
          <a:off x="2838450" y="14392275"/>
          <a:ext cx="1362075" cy="360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75000"/>
              </a:schemeClr>
            </a:gs>
          </a:gsLst>
          <a:lin ang="8100000" scaled="1"/>
          <a:tileRect/>
        </a:gradFill>
        <a:ln cap="rnd">
          <a:rou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  <a:cs typeface="Arial Unicode MS" panose="020B0604020202020204" pitchFamily="34" charset="-120"/>
            </a:rPr>
            <a:t>輸入</a:t>
          </a:r>
          <a:r>
            <a:rPr lang="en-US" altLang="zh-TW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  <a:cs typeface="Arial Unicode MS" panose="020B0604020202020204" pitchFamily="34" charset="-120"/>
            </a:rPr>
            <a:t>Enter</a:t>
          </a:r>
          <a:endParaRPr lang="zh-TW" altLang="en-US" sz="1400" b="1">
            <a:solidFill>
              <a:schemeClr val="tx1"/>
            </a:solidFill>
            <a:latin typeface="+mj-lt"/>
            <a:ea typeface="微軟正黑體" panose="020B0604030504040204" pitchFamily="34" charset="-120"/>
            <a:cs typeface="Arial Unicode MS" panose="020B0604020202020204" pitchFamily="34" charset="-120"/>
          </a:endParaRPr>
        </a:p>
      </xdr:txBody>
    </xdr:sp>
    <xdr:clientData/>
  </xdr:twoCellAnchor>
  <xdr:twoCellAnchor>
    <xdr:from>
      <xdr:col>6</xdr:col>
      <xdr:colOff>43484</xdr:colOff>
      <xdr:row>46</xdr:row>
      <xdr:rowOff>20293</xdr:rowOff>
    </xdr:from>
    <xdr:to>
      <xdr:col>9</xdr:col>
      <xdr:colOff>144331</xdr:colOff>
      <xdr:row>46</xdr:row>
      <xdr:rowOff>344143</xdr:rowOff>
    </xdr:to>
    <xdr:sp macro="" textlink="">
      <xdr:nvSpPr>
        <xdr:cNvPr id="32" name="矩形 31"/>
        <xdr:cNvSpPr/>
      </xdr:nvSpPr>
      <xdr:spPr>
        <a:xfrm>
          <a:off x="4307753" y="9259543"/>
          <a:ext cx="2167040" cy="323850"/>
        </a:xfrm>
        <a:prstGeom prst="rect">
          <a:avLst/>
        </a:prstGeom>
        <a:solidFill>
          <a:schemeClr val="bg1"/>
        </a:solidFill>
        <a:ln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0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使用</a:t>
          </a:r>
          <a:r>
            <a:rPr lang="en-US" altLang="zh-TW" sz="1100" b="0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FV</a:t>
          </a:r>
          <a:r>
            <a:rPr lang="zh-TW" altLang="en-US" sz="1100" b="0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，請點</a:t>
          </a:r>
          <a:r>
            <a:rPr lang="zh-TW" altLang="en-US" sz="1100" b="1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輸入</a:t>
          </a:r>
          <a:r>
            <a:rPr lang="en-US" altLang="zh-TW" sz="1100" b="1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ENTER</a:t>
          </a:r>
          <a:endParaRPr lang="zh-TW" altLang="en-US" sz="1100" b="1">
            <a:solidFill>
              <a:schemeClr val="tx1"/>
            </a:solidFill>
            <a:latin typeface="+mn-lt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6</xdr:col>
      <xdr:colOff>32718</xdr:colOff>
      <xdr:row>51</xdr:row>
      <xdr:rowOff>95250</xdr:rowOff>
    </xdr:from>
    <xdr:to>
      <xdr:col>9</xdr:col>
      <xdr:colOff>158675</xdr:colOff>
      <xdr:row>51</xdr:row>
      <xdr:rowOff>419100</xdr:rowOff>
    </xdr:to>
    <xdr:sp macro="" textlink="">
      <xdr:nvSpPr>
        <xdr:cNvPr id="35" name="矩形 34"/>
        <xdr:cNvSpPr/>
      </xdr:nvSpPr>
      <xdr:spPr>
        <a:xfrm>
          <a:off x="4296987" y="10484827"/>
          <a:ext cx="2192150" cy="323850"/>
        </a:xfrm>
        <a:prstGeom prst="rect">
          <a:avLst/>
        </a:prstGeom>
        <a:solidFill>
          <a:schemeClr val="bg1"/>
        </a:solidFill>
        <a:ln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0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使用板外</a:t>
          </a:r>
          <a:r>
            <a:rPr lang="en-US" altLang="zh-TW" sz="1100" b="0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LAM</a:t>
          </a:r>
          <a:r>
            <a:rPr lang="zh-TW" altLang="en-US" sz="1100" b="0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，請點</a:t>
          </a:r>
          <a:r>
            <a:rPr lang="zh-TW" altLang="en-US" sz="1100" b="1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輸入</a:t>
          </a:r>
          <a:r>
            <a:rPr lang="en-US" altLang="zh-TW" sz="1100" b="1">
              <a:solidFill>
                <a:schemeClr val="tx1"/>
              </a:solidFill>
              <a:latin typeface="+mn-lt"/>
              <a:ea typeface="微軟正黑體" panose="020B0604030504040204" pitchFamily="34" charset="-120"/>
            </a:rPr>
            <a:t>ENTER</a:t>
          </a:r>
          <a:endParaRPr lang="zh-TW" altLang="en-US" sz="1100" b="1">
            <a:solidFill>
              <a:schemeClr val="tx1"/>
            </a:solidFill>
            <a:latin typeface="+mn-lt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6</xdr:col>
      <xdr:colOff>32716</xdr:colOff>
      <xdr:row>52</xdr:row>
      <xdr:rowOff>179319</xdr:rowOff>
    </xdr:from>
    <xdr:to>
      <xdr:col>9</xdr:col>
      <xdr:colOff>166584</xdr:colOff>
      <xdr:row>53</xdr:row>
      <xdr:rowOff>74544</xdr:rowOff>
    </xdr:to>
    <xdr:sp macro="" textlink="">
      <xdr:nvSpPr>
        <xdr:cNvPr id="36" name="矩形 35"/>
        <xdr:cNvSpPr/>
      </xdr:nvSpPr>
      <xdr:spPr>
        <a:xfrm>
          <a:off x="4296985" y="11001184"/>
          <a:ext cx="2200061" cy="327514"/>
        </a:xfrm>
        <a:prstGeom prst="rect">
          <a:avLst/>
        </a:prstGeom>
        <a:solidFill>
          <a:schemeClr val="bg1"/>
        </a:solidFill>
        <a:ln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0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使用板內</a:t>
          </a:r>
          <a:r>
            <a:rPr lang="en-US" altLang="zh-TW" sz="1100" b="0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LAM</a:t>
          </a:r>
          <a:r>
            <a:rPr lang="zh-TW" altLang="en-US" sz="1100" b="0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，請點</a:t>
          </a:r>
          <a:r>
            <a:rPr lang="zh-TW" altLang="en-US" sz="11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輸入</a:t>
          </a:r>
          <a:r>
            <a:rPr lang="en-US" altLang="zh-TW" sz="11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ENTER</a:t>
          </a:r>
          <a:endParaRPr lang="zh-TW" altLang="en-US" sz="1100" b="1">
            <a:solidFill>
              <a:schemeClr val="tx1"/>
            </a:solidFill>
            <a:latin typeface="+mj-lt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6</xdr:col>
      <xdr:colOff>33960</xdr:colOff>
      <xdr:row>63</xdr:row>
      <xdr:rowOff>221561</xdr:rowOff>
    </xdr:from>
    <xdr:to>
      <xdr:col>9</xdr:col>
      <xdr:colOff>95251</xdr:colOff>
      <xdr:row>64</xdr:row>
      <xdr:rowOff>269186</xdr:rowOff>
    </xdr:to>
    <xdr:sp macro="" textlink="">
      <xdr:nvSpPr>
        <xdr:cNvPr id="37" name="矩形 36"/>
        <xdr:cNvSpPr/>
      </xdr:nvSpPr>
      <xdr:spPr>
        <a:xfrm>
          <a:off x="4298229" y="12362273"/>
          <a:ext cx="2127484" cy="326048"/>
        </a:xfrm>
        <a:prstGeom prst="rect">
          <a:avLst/>
        </a:prstGeom>
        <a:solidFill>
          <a:schemeClr val="bg1"/>
        </a:solidFill>
        <a:ln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0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使用板內分割，請點</a:t>
          </a:r>
          <a:r>
            <a:rPr lang="zh-TW" altLang="en-US" sz="11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輸入</a:t>
          </a:r>
          <a:r>
            <a:rPr lang="en-US" altLang="zh-TW" sz="11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ENTER</a:t>
          </a:r>
          <a:endParaRPr lang="zh-TW" altLang="en-US" sz="1100" b="1">
            <a:solidFill>
              <a:schemeClr val="tx1"/>
            </a:solidFill>
            <a:latin typeface="+mj-lt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23</xdr:col>
      <xdr:colOff>405848</xdr:colOff>
      <xdr:row>45</xdr:row>
      <xdr:rowOff>60708</xdr:rowOff>
    </xdr:from>
    <xdr:to>
      <xdr:col>28</xdr:col>
      <xdr:colOff>600806</xdr:colOff>
      <xdr:row>50</xdr:row>
      <xdr:rowOff>257856</xdr:rowOff>
    </xdr:to>
    <xdr:sp macro="" textlink="">
      <xdr:nvSpPr>
        <xdr:cNvPr id="8" name="矩形 7"/>
        <xdr:cNvSpPr/>
      </xdr:nvSpPr>
      <xdr:spPr>
        <a:xfrm>
          <a:off x="16341587" y="9047338"/>
          <a:ext cx="3632241" cy="13484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待製作</a:t>
          </a:r>
          <a:r>
            <a:rPr lang="en-US" altLang="zh-TW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.......</a:t>
          </a:r>
          <a:r>
            <a:rPr lang="en-US" altLang="zh-TW" sz="18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To Be Continue</a:t>
          </a:r>
          <a:endParaRPr lang="zh-TW" altLang="en-US" sz="1800" b="1">
            <a:solidFill>
              <a:schemeClr val="tx1"/>
            </a:solidFill>
            <a:latin typeface="+mj-lt"/>
            <a:ea typeface="微軟正黑體" panose="020B0604030504040204" pitchFamily="34" charset="-120"/>
          </a:endParaRPr>
        </a:p>
      </xdr:txBody>
    </xdr:sp>
    <xdr:clientData/>
  </xdr:twoCellAnchor>
  <xdr:twoCellAnchor editAs="oneCell">
    <xdr:from>
      <xdr:col>7</xdr:col>
      <xdr:colOff>33131</xdr:colOff>
      <xdr:row>42</xdr:row>
      <xdr:rowOff>66260</xdr:rowOff>
    </xdr:from>
    <xdr:to>
      <xdr:col>10</xdr:col>
      <xdr:colOff>25292</xdr:colOff>
      <xdr:row>45</xdr:row>
      <xdr:rowOff>245896</xdr:rowOff>
    </xdr:to>
    <xdr:pic macro="[0]!DELETE">
      <xdr:nvPicPr>
        <xdr:cNvPr id="15" name="圖片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69566" y="8439977"/>
          <a:ext cx="2054530" cy="792549"/>
        </a:xfrm>
        <a:prstGeom prst="rect">
          <a:avLst/>
        </a:prstGeom>
      </xdr:spPr>
    </xdr:pic>
    <xdr:clientData/>
  </xdr:twoCellAnchor>
  <xdr:twoCellAnchor>
    <xdr:from>
      <xdr:col>4</xdr:col>
      <xdr:colOff>11205</xdr:colOff>
      <xdr:row>57</xdr:row>
      <xdr:rowOff>89648</xdr:rowOff>
    </xdr:from>
    <xdr:to>
      <xdr:col>6</xdr:col>
      <xdr:colOff>1680</xdr:colOff>
      <xdr:row>57</xdr:row>
      <xdr:rowOff>446846</xdr:rowOff>
    </xdr:to>
    <xdr:sp macro="[0]!板外分割" textlink="">
      <xdr:nvSpPr>
        <xdr:cNvPr id="17" name="圓角矩形 16"/>
        <xdr:cNvSpPr/>
      </xdr:nvSpPr>
      <xdr:spPr>
        <a:xfrm>
          <a:off x="2891117" y="12404913"/>
          <a:ext cx="1357592" cy="357198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75000"/>
              </a:schemeClr>
            </a:gs>
          </a:gsLst>
          <a:lin ang="13500000" scaled="1"/>
          <a:tileRect/>
        </a:gradFill>
        <a:ln cap="rnd">
          <a:rou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  <a:cs typeface="Arial Unicode MS" panose="020B0604020202020204" pitchFamily="34" charset="-120"/>
            </a:rPr>
            <a:t>輸入</a:t>
          </a:r>
          <a:r>
            <a:rPr lang="en-US" altLang="zh-TW" sz="1400" b="1">
              <a:solidFill>
                <a:schemeClr val="tx1"/>
              </a:solidFill>
              <a:latin typeface="+mj-lt"/>
              <a:ea typeface="微軟正黑體" panose="020B0604030504040204" pitchFamily="34" charset="-120"/>
              <a:cs typeface="Arial Unicode MS" panose="020B0604020202020204" pitchFamily="34" charset="-120"/>
            </a:rPr>
            <a:t>Enter</a:t>
          </a:r>
          <a:endParaRPr lang="zh-TW" altLang="en-US" sz="1400" b="1">
            <a:solidFill>
              <a:schemeClr val="tx1"/>
            </a:solidFill>
            <a:latin typeface="+mj-lt"/>
            <a:ea typeface="微軟正黑體" panose="020B0604030504040204" pitchFamily="34" charset="-120"/>
            <a:cs typeface="Arial Unicode MS" panose="020B0604020202020204" pitchFamily="34" charset="-120"/>
          </a:endParaRPr>
        </a:p>
      </xdr:txBody>
    </xdr:sp>
    <xdr:clientData/>
  </xdr:twoCellAnchor>
  <xdr:twoCellAnchor>
    <xdr:from>
      <xdr:col>6</xdr:col>
      <xdr:colOff>51200</xdr:colOff>
      <xdr:row>57</xdr:row>
      <xdr:rowOff>136655</xdr:rowOff>
    </xdr:from>
    <xdr:to>
      <xdr:col>9</xdr:col>
      <xdr:colOff>112491</xdr:colOff>
      <xdr:row>57</xdr:row>
      <xdr:rowOff>464427</xdr:rowOff>
    </xdr:to>
    <xdr:sp macro="" textlink="">
      <xdr:nvSpPr>
        <xdr:cNvPr id="18" name="矩形 17"/>
        <xdr:cNvSpPr/>
      </xdr:nvSpPr>
      <xdr:spPr>
        <a:xfrm>
          <a:off x="4298229" y="12451920"/>
          <a:ext cx="2111968" cy="327772"/>
        </a:xfrm>
        <a:prstGeom prst="rect">
          <a:avLst/>
        </a:prstGeom>
        <a:solidFill>
          <a:schemeClr val="bg1"/>
        </a:solidFill>
        <a:ln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0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使用板外分割，請點</a:t>
          </a:r>
          <a:r>
            <a:rPr lang="zh-TW" altLang="en-US" sz="11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輸入</a:t>
          </a:r>
          <a:r>
            <a:rPr lang="en-US" altLang="zh-TW" sz="1100" b="1">
              <a:solidFill>
                <a:schemeClr val="tx1"/>
              </a:solidFill>
              <a:latin typeface="+mj-lt"/>
              <a:ea typeface="微軟正黑體" panose="020B0604030504040204" pitchFamily="34" charset="-120"/>
            </a:rPr>
            <a:t>ENTER</a:t>
          </a:r>
          <a:endParaRPr lang="zh-TW" altLang="en-US" sz="1100" b="1">
            <a:solidFill>
              <a:schemeClr val="tx1"/>
            </a:solidFill>
            <a:latin typeface="+mj-lt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363920</xdr:colOff>
      <xdr:row>25</xdr:row>
      <xdr:rowOff>11496</xdr:rowOff>
    </xdr:from>
    <xdr:to>
      <xdr:col>6</xdr:col>
      <xdr:colOff>646387</xdr:colOff>
      <xdr:row>27</xdr:row>
      <xdr:rowOff>14779</xdr:rowOff>
    </xdr:to>
    <xdr:sp macro="[0]!長邊進_計算靶距" textlink="">
      <xdr:nvSpPr>
        <xdr:cNvPr id="2" name="圓角矩形 1"/>
        <xdr:cNvSpPr/>
      </xdr:nvSpPr>
      <xdr:spPr>
        <a:xfrm>
          <a:off x="3307145" y="5145471"/>
          <a:ext cx="1654067" cy="517633"/>
        </a:xfrm>
        <a:prstGeom prst="roundRect">
          <a:avLst>
            <a:gd name="adj" fmla="val 50000"/>
          </a:avLst>
        </a:prstGeom>
        <a:gradFill>
          <a:gsLst>
            <a:gs pos="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5400000" scaled="1"/>
        </a:gradFill>
        <a:ln cap="rnd">
          <a:noFill/>
          <a:round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 b="1">
              <a:solidFill>
                <a:schemeClr val="tx1"/>
              </a:solidFill>
              <a:latin typeface="Arial Black" panose="020B0A04020102020204" pitchFamily="34" charset="0"/>
              <a:ea typeface="MS UI Gothic" panose="020B0600070205080204" pitchFamily="34" charset="-128"/>
            </a:rPr>
            <a:t>計算靶距</a:t>
          </a:r>
        </a:p>
      </xdr:txBody>
    </xdr:sp>
    <xdr:clientData/>
  </xdr:twoCellAnchor>
  <xdr:twoCellAnchor>
    <xdr:from>
      <xdr:col>0</xdr:col>
      <xdr:colOff>2</xdr:colOff>
      <xdr:row>29</xdr:row>
      <xdr:rowOff>52551</xdr:rowOff>
    </xdr:from>
    <xdr:to>
      <xdr:col>5</xdr:col>
      <xdr:colOff>52557</xdr:colOff>
      <xdr:row>38</xdr:row>
      <xdr:rowOff>219074</xdr:rowOff>
    </xdr:to>
    <xdr:grpSp>
      <xdr:nvGrpSpPr>
        <xdr:cNvPr id="12" name="群組 11"/>
        <xdr:cNvGrpSpPr/>
      </xdr:nvGrpSpPr>
      <xdr:grpSpPr>
        <a:xfrm rot="16200000">
          <a:off x="643105" y="5219698"/>
          <a:ext cx="2395373" cy="3681580"/>
          <a:chOff x="1066801" y="6240188"/>
          <a:chExt cx="2004847" cy="3100552"/>
        </a:xfrm>
      </xdr:grpSpPr>
      <xdr:grpSp>
        <xdr:nvGrpSpPr>
          <xdr:cNvPr id="13" name="群組 12"/>
          <xdr:cNvGrpSpPr/>
        </xdr:nvGrpSpPr>
        <xdr:grpSpPr>
          <a:xfrm>
            <a:off x="1066801" y="6240188"/>
            <a:ext cx="2004847" cy="3100552"/>
            <a:chOff x="1066801" y="6240188"/>
            <a:chExt cx="2004847" cy="3100552"/>
          </a:xfrm>
        </xdr:grpSpPr>
        <xdr:sp macro="" textlink="">
          <xdr:nvSpPr>
            <xdr:cNvPr id="15" name="矩形 14"/>
            <xdr:cNvSpPr/>
          </xdr:nvSpPr>
          <xdr:spPr>
            <a:xfrm>
              <a:off x="1066801" y="6240188"/>
              <a:ext cx="2004847" cy="3100552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 w="38100">
              <a:solidFill>
                <a:schemeClr val="accent4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>
          <xdr:nvPicPr>
            <xdr:cNvPr id="16" name="圖片 15"/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368" t="4856" r="7372" b="3643"/>
            <a:stretch/>
          </xdr:blipFill>
          <xdr:spPr bwMode="auto">
            <a:xfrm>
              <a:off x="1487556" y="6581847"/>
              <a:ext cx="1236812" cy="24669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7" name="矩形 16"/>
            <xdr:cNvSpPr/>
          </xdr:nvSpPr>
          <xdr:spPr>
            <a:xfrm>
              <a:off x="1241977" y="6435588"/>
              <a:ext cx="1659835" cy="2839040"/>
            </a:xfrm>
            <a:prstGeom prst="rect">
              <a:avLst/>
            </a:prstGeom>
            <a:noFill/>
            <a:ln w="38100">
              <a:solidFill>
                <a:schemeClr val="tx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18" name="左大括弧 17"/>
            <xdr:cNvSpPr/>
          </xdr:nvSpPr>
          <xdr:spPr>
            <a:xfrm>
              <a:off x="1562099" y="7831520"/>
              <a:ext cx="118242" cy="1205406"/>
            </a:xfrm>
            <a:prstGeom prst="leftBrace">
              <a:avLst>
                <a:gd name="adj1" fmla="val 112879"/>
                <a:gd name="adj2" fmla="val 49123"/>
              </a:avLst>
            </a:prstGeom>
            <a:ln>
              <a:solidFill>
                <a:srgbClr val="0000FF"/>
              </a:solidFill>
            </a:ln>
            <a:scene3d>
              <a:camera prst="orthographicFront">
                <a:rot lat="0" lon="0" rev="10800000"/>
              </a:camera>
              <a:lightRig rig="threePt" dir="t"/>
            </a:scene3d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cxnSp macro="">
          <xdr:nvCxnSpPr>
            <xdr:cNvPr id="19" name="直線單箭頭接點 18"/>
            <xdr:cNvCxnSpPr/>
          </xdr:nvCxnSpPr>
          <xdr:spPr>
            <a:xfrm>
              <a:off x="1495136" y="9013964"/>
              <a:ext cx="289" cy="225286"/>
            </a:xfrm>
            <a:prstGeom prst="straightConnector1">
              <a:avLst/>
            </a:prstGeom>
            <a:ln>
              <a:solidFill>
                <a:srgbClr val="FF0000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" name="直線單箭頭接點 19"/>
            <xdr:cNvCxnSpPr/>
          </xdr:nvCxnSpPr>
          <xdr:spPr>
            <a:xfrm>
              <a:off x="1247775" y="9020175"/>
              <a:ext cx="284435" cy="422"/>
            </a:xfrm>
            <a:prstGeom prst="straightConnector1">
              <a:avLst/>
            </a:prstGeom>
            <a:ln>
              <a:solidFill>
                <a:srgbClr val="FF0000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pic>
          <xdr:nvPicPr>
            <xdr:cNvPr id="21" name="圖片 20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 rot="10800000">
              <a:off x="1774668" y="6308160"/>
              <a:ext cx="1106175" cy="97911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extLst/>
          </xdr:spPr>
        </xdr:pic>
      </xdr:grpSp>
      <xdr:sp macro="" textlink="">
        <xdr:nvSpPr>
          <xdr:cNvPr id="14" name="左大括弧 13"/>
          <xdr:cNvSpPr/>
        </xdr:nvSpPr>
        <xdr:spPr>
          <a:xfrm>
            <a:off x="1307553" y="6600497"/>
            <a:ext cx="186557" cy="2417379"/>
          </a:xfrm>
          <a:prstGeom prst="leftBrace">
            <a:avLst>
              <a:gd name="adj1" fmla="val 116879"/>
              <a:gd name="adj2" fmla="val 49123"/>
            </a:avLst>
          </a:prstGeom>
          <a:ln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  <xdr:twoCellAnchor>
    <xdr:from>
      <xdr:col>1</xdr:col>
      <xdr:colOff>866775</xdr:colOff>
      <xdr:row>26</xdr:row>
      <xdr:rowOff>200025</xdr:rowOff>
    </xdr:from>
    <xdr:to>
      <xdr:col>2</xdr:col>
      <xdr:colOff>636202</xdr:colOff>
      <xdr:row>29</xdr:row>
      <xdr:rowOff>100504</xdr:rowOff>
    </xdr:to>
    <xdr:sp macro="" textlink="">
      <xdr:nvSpPr>
        <xdr:cNvPr id="22" name="向下箭號 21"/>
        <xdr:cNvSpPr/>
      </xdr:nvSpPr>
      <xdr:spPr>
        <a:xfrm rot="10800000">
          <a:off x="1552575" y="5600700"/>
          <a:ext cx="655252" cy="643429"/>
        </a:xfrm>
        <a:prstGeom prst="downArrow">
          <a:avLst/>
        </a:prstGeom>
        <a:solidFill>
          <a:schemeClr val="bg2">
            <a:lumMod val="90000"/>
          </a:schemeClr>
        </a:solidFill>
        <a:ln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382970</xdr:colOff>
      <xdr:row>24</xdr:row>
      <xdr:rowOff>192471</xdr:rowOff>
    </xdr:from>
    <xdr:to>
      <xdr:col>6</xdr:col>
      <xdr:colOff>665437</xdr:colOff>
      <xdr:row>26</xdr:row>
      <xdr:rowOff>243379</xdr:rowOff>
    </xdr:to>
    <xdr:sp macro="[0]!計算靶距_短邊進" textlink="">
      <xdr:nvSpPr>
        <xdr:cNvPr id="2" name="圓角矩形 1"/>
        <xdr:cNvSpPr/>
      </xdr:nvSpPr>
      <xdr:spPr>
        <a:xfrm>
          <a:off x="3126170" y="5126421"/>
          <a:ext cx="1654067" cy="517633"/>
        </a:xfrm>
        <a:prstGeom prst="roundRect">
          <a:avLst>
            <a:gd name="adj" fmla="val 50000"/>
          </a:avLst>
        </a:prstGeom>
        <a:gradFill>
          <a:gsLst>
            <a:gs pos="0">
              <a:schemeClr val="accent3">
                <a:lumMod val="20000"/>
                <a:lumOff val="80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5400000" scaled="1"/>
        </a:gradFill>
        <a:ln cap="rnd">
          <a:round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 b="1">
              <a:solidFill>
                <a:schemeClr val="tx1"/>
              </a:solidFill>
              <a:latin typeface="Arial Black" panose="020B0A04020102020204" pitchFamily="34" charset="0"/>
              <a:ea typeface="MS UI Gothic" panose="020B0600070205080204" pitchFamily="34" charset="-128"/>
            </a:rPr>
            <a:t>計算靶距</a:t>
          </a:r>
        </a:p>
      </xdr:txBody>
    </xdr:sp>
    <xdr:clientData/>
  </xdr:twoCellAnchor>
  <xdr:twoCellAnchor>
    <xdr:from>
      <xdr:col>1</xdr:col>
      <xdr:colOff>19051</xdr:colOff>
      <xdr:row>28</xdr:row>
      <xdr:rowOff>172763</xdr:rowOff>
    </xdr:from>
    <xdr:to>
      <xdr:col>4</xdr:col>
      <xdr:colOff>466725</xdr:colOff>
      <xdr:row>47</xdr:row>
      <xdr:rowOff>9525</xdr:rowOff>
    </xdr:to>
    <xdr:grpSp>
      <xdr:nvGrpSpPr>
        <xdr:cNvPr id="22" name="群組 21"/>
        <xdr:cNvGrpSpPr/>
      </xdr:nvGrpSpPr>
      <xdr:grpSpPr>
        <a:xfrm>
          <a:off x="704851" y="6087788"/>
          <a:ext cx="2505074" cy="3303862"/>
          <a:chOff x="1066801" y="6240188"/>
          <a:chExt cx="2004847" cy="3100552"/>
        </a:xfrm>
      </xdr:grpSpPr>
      <xdr:grpSp>
        <xdr:nvGrpSpPr>
          <xdr:cNvPr id="21" name="群組 20"/>
          <xdr:cNvGrpSpPr/>
        </xdr:nvGrpSpPr>
        <xdr:grpSpPr>
          <a:xfrm>
            <a:off x="1066801" y="6240188"/>
            <a:ext cx="2004847" cy="3100552"/>
            <a:chOff x="1066801" y="6240188"/>
            <a:chExt cx="2004847" cy="3100552"/>
          </a:xfrm>
        </xdr:grpSpPr>
        <xdr:sp macro="" textlink="">
          <xdr:nvSpPr>
            <xdr:cNvPr id="3" name="矩形 2"/>
            <xdr:cNvSpPr/>
          </xdr:nvSpPr>
          <xdr:spPr>
            <a:xfrm>
              <a:off x="1066801" y="6240188"/>
              <a:ext cx="2004847" cy="3100552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 w="38100">
              <a:solidFill>
                <a:schemeClr val="accent4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>
          <xdr:nvPicPr>
            <xdr:cNvPr id="9" name="圖片 8"/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368" t="4856" r="7372" b="3643"/>
            <a:stretch/>
          </xdr:blipFill>
          <xdr:spPr bwMode="auto">
            <a:xfrm>
              <a:off x="1487556" y="6581847"/>
              <a:ext cx="1236812" cy="24669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" name="矩形 5"/>
            <xdr:cNvSpPr/>
          </xdr:nvSpPr>
          <xdr:spPr>
            <a:xfrm>
              <a:off x="1241977" y="6435588"/>
              <a:ext cx="1659835" cy="2839040"/>
            </a:xfrm>
            <a:prstGeom prst="rect">
              <a:avLst/>
            </a:prstGeom>
            <a:noFill/>
            <a:ln w="38100">
              <a:solidFill>
                <a:schemeClr val="tx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12" name="左大括弧 11"/>
            <xdr:cNvSpPr/>
          </xdr:nvSpPr>
          <xdr:spPr>
            <a:xfrm>
              <a:off x="1562099" y="7831520"/>
              <a:ext cx="118242" cy="1205406"/>
            </a:xfrm>
            <a:prstGeom prst="leftBrace">
              <a:avLst>
                <a:gd name="adj1" fmla="val 112879"/>
                <a:gd name="adj2" fmla="val 49123"/>
              </a:avLst>
            </a:prstGeom>
            <a:ln>
              <a:solidFill>
                <a:srgbClr val="0000FF"/>
              </a:solidFill>
            </a:ln>
            <a:scene3d>
              <a:camera prst="orthographicFront">
                <a:rot lat="0" lon="0" rev="10800000"/>
              </a:camera>
              <a:lightRig rig="threePt" dir="t"/>
            </a:scene3d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cxnSp macro="">
          <xdr:nvCxnSpPr>
            <xdr:cNvPr id="10" name="直線單箭頭接點 9"/>
            <xdr:cNvCxnSpPr/>
          </xdr:nvCxnSpPr>
          <xdr:spPr>
            <a:xfrm>
              <a:off x="1495136" y="9013964"/>
              <a:ext cx="289" cy="225286"/>
            </a:xfrm>
            <a:prstGeom prst="straightConnector1">
              <a:avLst/>
            </a:prstGeom>
            <a:ln>
              <a:solidFill>
                <a:srgbClr val="FF0000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" name="直線單箭頭接點 17"/>
            <xdr:cNvCxnSpPr/>
          </xdr:nvCxnSpPr>
          <xdr:spPr>
            <a:xfrm>
              <a:off x="1247775" y="9020175"/>
              <a:ext cx="284435" cy="422"/>
            </a:xfrm>
            <a:prstGeom prst="straightConnector1">
              <a:avLst/>
            </a:prstGeom>
            <a:ln>
              <a:solidFill>
                <a:srgbClr val="FF0000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pic>
          <xdr:nvPicPr>
            <xdr:cNvPr id="8" name="圖片 7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 rot="10800000">
              <a:off x="1774668" y="6308160"/>
              <a:ext cx="1106175" cy="97911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extLst/>
          </xdr:spPr>
        </xdr:pic>
      </xdr:grpSp>
      <xdr:sp macro="" textlink="">
        <xdr:nvSpPr>
          <xdr:cNvPr id="11" name="左大括弧 10"/>
          <xdr:cNvSpPr/>
        </xdr:nvSpPr>
        <xdr:spPr>
          <a:xfrm>
            <a:off x="1307553" y="6600497"/>
            <a:ext cx="186557" cy="2417379"/>
          </a:xfrm>
          <a:prstGeom prst="leftBrace">
            <a:avLst>
              <a:gd name="adj1" fmla="val 116879"/>
              <a:gd name="adj2" fmla="val 49123"/>
            </a:avLst>
          </a:prstGeom>
          <a:ln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  <xdr:twoCellAnchor>
    <xdr:from>
      <xdr:col>2</xdr:col>
      <xdr:colOff>257175</xdr:colOff>
      <xdr:row>25</xdr:row>
      <xdr:rowOff>247648</xdr:rowOff>
    </xdr:from>
    <xdr:to>
      <xdr:col>3</xdr:col>
      <xdr:colOff>226627</xdr:colOff>
      <xdr:row>28</xdr:row>
      <xdr:rowOff>129077</xdr:rowOff>
    </xdr:to>
    <xdr:sp macro="" textlink="">
      <xdr:nvSpPr>
        <xdr:cNvPr id="5" name="向下箭號 4"/>
        <xdr:cNvSpPr/>
      </xdr:nvSpPr>
      <xdr:spPr>
        <a:xfrm rot="10800000">
          <a:off x="1628775" y="5400673"/>
          <a:ext cx="655252" cy="643429"/>
        </a:xfrm>
        <a:prstGeom prst="downArrow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17</xdr:row>
      <xdr:rowOff>57150</xdr:rowOff>
    </xdr:from>
    <xdr:to>
      <xdr:col>6</xdr:col>
      <xdr:colOff>447675</xdr:colOff>
      <xdr:row>40</xdr:row>
      <xdr:rowOff>9525</xdr:rowOff>
    </xdr:to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857625"/>
          <a:ext cx="5619750" cy="4772025"/>
        </a:xfrm>
        <a:prstGeom prst="rect">
          <a:avLst/>
        </a:prstGeom>
      </xdr:spPr>
    </xdr:pic>
    <xdr:clientData/>
  </xdr:twoCellAnchor>
  <xdr:twoCellAnchor>
    <xdr:from>
      <xdr:col>6</xdr:col>
      <xdr:colOff>666750</xdr:colOff>
      <xdr:row>17</xdr:row>
      <xdr:rowOff>9525</xdr:rowOff>
    </xdr:from>
    <xdr:to>
      <xdr:col>8</xdr:col>
      <xdr:colOff>123825</xdr:colOff>
      <xdr:row>25</xdr:row>
      <xdr:rowOff>85725</xdr:rowOff>
    </xdr:to>
    <xdr:sp macro="" textlink="">
      <xdr:nvSpPr>
        <xdr:cNvPr id="8" name="向上箭號 7"/>
        <xdr:cNvSpPr/>
      </xdr:nvSpPr>
      <xdr:spPr>
        <a:xfrm>
          <a:off x="5734050" y="3867150"/>
          <a:ext cx="828675" cy="1752600"/>
        </a:xfrm>
        <a:prstGeom prst="upArrow">
          <a:avLst/>
        </a:prstGeom>
        <a:gradFill flip="none" rotWithShape="1">
          <a:gsLst>
            <a:gs pos="0">
              <a:schemeClr val="accent5"/>
            </a:gs>
            <a:gs pos="100000">
              <a:schemeClr val="bg1"/>
            </a:gs>
          </a:gsLst>
          <a:lin ang="2700000" scaled="1"/>
          <a:tileRect/>
        </a:gradFill>
        <a:ln>
          <a:solidFill>
            <a:schemeClr val="bg1"/>
          </a:solidFill>
        </a:ln>
        <a:effectLst>
          <a:glow rad="63500">
            <a:schemeClr val="bg1">
              <a:alpha val="40000"/>
            </a:schemeClr>
          </a:glow>
          <a:outerShdw blurRad="50800" dist="38100" dir="2700000" sx="99000" sy="99000" algn="t" rotWithShape="0">
            <a:prstClr val="black"/>
          </a:outerShdw>
          <a:softEdge rad="1270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38100</xdr:rowOff>
        </xdr:from>
        <xdr:to>
          <xdr:col>5</xdr:col>
          <xdr:colOff>1066800</xdr:colOff>
          <xdr:row>15</xdr:row>
          <xdr:rowOff>121920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17</xdr:row>
      <xdr:rowOff>28574</xdr:rowOff>
    </xdr:from>
    <xdr:to>
      <xdr:col>5</xdr:col>
      <xdr:colOff>1090451</xdr:colOff>
      <xdr:row>41</xdr:row>
      <xdr:rowOff>171449</xdr:rowOff>
    </xdr:to>
    <xdr:pic>
      <xdr:nvPicPr>
        <xdr:cNvPr id="5" name="圖片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152400" y="3829049"/>
          <a:ext cx="4757576" cy="5172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8</xdr:row>
          <xdr:rowOff>30480</xdr:rowOff>
        </xdr:from>
        <xdr:to>
          <xdr:col>5</xdr:col>
          <xdr:colOff>1074420</xdr:colOff>
          <xdr:row>10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1314450</xdr:colOff>
      <xdr:row>17</xdr:row>
      <xdr:rowOff>19050</xdr:rowOff>
    </xdr:from>
    <xdr:to>
      <xdr:col>7</xdr:col>
      <xdr:colOff>85725</xdr:colOff>
      <xdr:row>25</xdr:row>
      <xdr:rowOff>95250</xdr:rowOff>
    </xdr:to>
    <xdr:sp macro="" textlink="">
      <xdr:nvSpPr>
        <xdr:cNvPr id="9" name="向上箭號 8"/>
        <xdr:cNvSpPr/>
      </xdr:nvSpPr>
      <xdr:spPr>
        <a:xfrm>
          <a:off x="5010150" y="3819525"/>
          <a:ext cx="828675" cy="1752600"/>
        </a:xfrm>
        <a:prstGeom prst="upArrow">
          <a:avLst/>
        </a:prstGeom>
        <a:gradFill flip="none" rotWithShape="1">
          <a:gsLst>
            <a:gs pos="0">
              <a:schemeClr val="accent5"/>
            </a:gs>
            <a:gs pos="100000">
              <a:schemeClr val="bg1"/>
            </a:gs>
          </a:gsLst>
          <a:lin ang="2700000" scaled="1"/>
          <a:tileRect/>
        </a:gradFill>
        <a:ln>
          <a:solidFill>
            <a:schemeClr val="bg1"/>
          </a:solidFill>
        </a:ln>
        <a:effectLst>
          <a:glow rad="63500">
            <a:schemeClr val="bg1">
              <a:alpha val="40000"/>
            </a:schemeClr>
          </a:glow>
          <a:outerShdw blurRad="50800" dist="38100" dir="2700000" sx="99000" sy="99000" algn="t" rotWithShape="0">
            <a:prstClr val="black"/>
          </a:outerShdw>
          <a:softEdge rad="1270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2</xdr:row>
      <xdr:rowOff>0</xdr:rowOff>
    </xdr:from>
    <xdr:to>
      <xdr:col>8</xdr:col>
      <xdr:colOff>171450</xdr:colOff>
      <xdr:row>3</xdr:row>
      <xdr:rowOff>19050</xdr:rowOff>
    </xdr:to>
    <xdr:sp macro="[0]!TST" textlink="">
      <xdr:nvSpPr>
        <xdr:cNvPr id="2" name="圓角矩形 1"/>
        <xdr:cNvSpPr/>
      </xdr:nvSpPr>
      <xdr:spPr>
        <a:xfrm>
          <a:off x="1962150" y="323850"/>
          <a:ext cx="590550" cy="2667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查詢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first"/>
  <dimension ref="A1:W73"/>
  <sheetViews>
    <sheetView showGridLines="0" view="pageBreakPreview" topLeftCell="A45" zoomScale="115" zoomScaleNormal="115" zoomScaleSheetLayoutView="115" workbookViewId="0">
      <selection activeCell="M46" sqref="M46"/>
    </sheetView>
  </sheetViews>
  <sheetFormatPr defaultColWidth="9" defaultRowHeight="15.6"/>
  <cols>
    <col min="1" max="1" width="10.21875" style="36" customWidth="1"/>
    <col min="2" max="2" width="9.44140625" style="36" customWidth="1"/>
    <col min="3" max="16384" width="9" style="36"/>
  </cols>
  <sheetData>
    <row r="1" spans="1:23">
      <c r="A1" s="35" t="s">
        <v>25</v>
      </c>
      <c r="B1" s="35" t="s">
        <v>141</v>
      </c>
      <c r="C1" s="35" t="s">
        <v>142</v>
      </c>
      <c r="D1" s="35"/>
      <c r="E1" s="35"/>
      <c r="F1" s="35"/>
      <c r="G1" s="35" t="s">
        <v>143</v>
      </c>
      <c r="H1" s="35" t="s">
        <v>144</v>
      </c>
      <c r="I1" s="35"/>
      <c r="J1" s="35"/>
      <c r="K1" s="35"/>
      <c r="L1" s="35"/>
      <c r="M1" s="35"/>
      <c r="N1" s="35"/>
      <c r="O1" s="35" t="s">
        <v>145</v>
      </c>
      <c r="P1" s="35" t="s">
        <v>146</v>
      </c>
      <c r="Q1" s="35"/>
    </row>
    <row r="2" spans="1:23">
      <c r="A2" s="37" t="s">
        <v>149</v>
      </c>
      <c r="G2" s="37" t="s">
        <v>150</v>
      </c>
      <c r="O2" s="37" t="s">
        <v>151</v>
      </c>
    </row>
    <row r="3" spans="1:23">
      <c r="A3" s="97" t="s">
        <v>262</v>
      </c>
      <c r="G3" s="97" t="s">
        <v>257</v>
      </c>
      <c r="O3" s="97" t="s">
        <v>242</v>
      </c>
      <c r="W3" s="36" t="s">
        <v>178</v>
      </c>
    </row>
    <row r="4" spans="1:23">
      <c r="A4" s="97" t="s">
        <v>21</v>
      </c>
      <c r="G4" s="97" t="s">
        <v>26</v>
      </c>
      <c r="O4" s="97" t="s">
        <v>26</v>
      </c>
    </row>
    <row r="5" spans="1:23">
      <c r="A5" s="97" t="s">
        <v>22</v>
      </c>
      <c r="C5" s="38"/>
      <c r="G5" s="97" t="s">
        <v>27</v>
      </c>
      <c r="O5" s="97" t="s">
        <v>27</v>
      </c>
    </row>
    <row r="6" spans="1:23">
      <c r="A6" s="97" t="s">
        <v>22</v>
      </c>
      <c r="C6" s="38"/>
      <c r="G6" s="97" t="s">
        <v>249</v>
      </c>
      <c r="O6" s="97" t="s">
        <v>243</v>
      </c>
    </row>
    <row r="7" spans="1:23">
      <c r="A7" s="97" t="s">
        <v>22</v>
      </c>
      <c r="C7" s="38"/>
      <c r="G7" s="97" t="s">
        <v>250</v>
      </c>
      <c r="O7" s="97" t="s">
        <v>244</v>
      </c>
    </row>
    <row r="8" spans="1:23">
      <c r="A8" s="97" t="s">
        <v>263</v>
      </c>
      <c r="C8" s="38"/>
      <c r="G8" s="97" t="s">
        <v>28</v>
      </c>
      <c r="O8" s="97" t="s">
        <v>28</v>
      </c>
    </row>
    <row r="9" spans="1:23">
      <c r="A9" s="97" t="s">
        <v>23</v>
      </c>
      <c r="C9" s="38"/>
      <c r="G9" s="97" t="s">
        <v>251</v>
      </c>
      <c r="O9" s="97" t="s">
        <v>245</v>
      </c>
    </row>
    <row r="10" spans="1:23">
      <c r="A10" s="97" t="s">
        <v>23</v>
      </c>
      <c r="C10" s="38"/>
      <c r="G10" s="97" t="s">
        <v>258</v>
      </c>
      <c r="O10" s="97" t="s">
        <v>237</v>
      </c>
    </row>
    <row r="11" spans="1:23">
      <c r="A11" s="97" t="s">
        <v>23</v>
      </c>
      <c r="C11" s="38"/>
      <c r="G11" s="97" t="s">
        <v>252</v>
      </c>
      <c r="O11" s="97" t="s">
        <v>246</v>
      </c>
    </row>
    <row r="12" spans="1:23">
      <c r="A12" s="97" t="s">
        <v>264</v>
      </c>
      <c r="C12" s="38"/>
      <c r="G12" s="97" t="s">
        <v>28</v>
      </c>
      <c r="O12" s="97" t="s">
        <v>28</v>
      </c>
    </row>
    <row r="13" spans="1:23">
      <c r="A13" s="97" t="s">
        <v>265</v>
      </c>
      <c r="C13" s="38"/>
      <c r="G13" s="97" t="s">
        <v>259</v>
      </c>
      <c r="O13" s="97" t="s">
        <v>238</v>
      </c>
    </row>
    <row r="14" spans="1:23">
      <c r="A14" s="97" t="s">
        <v>265</v>
      </c>
      <c r="C14" s="38"/>
      <c r="G14" s="97" t="s">
        <v>29</v>
      </c>
      <c r="O14" s="97" t="s">
        <v>29</v>
      </c>
    </row>
    <row r="15" spans="1:23">
      <c r="A15" s="97" t="s">
        <v>265</v>
      </c>
      <c r="C15" s="38"/>
      <c r="G15" s="97" t="s">
        <v>260</v>
      </c>
      <c r="O15" s="97" t="s">
        <v>247</v>
      </c>
    </row>
    <row r="16" spans="1:23">
      <c r="A16" s="97" t="s">
        <v>265</v>
      </c>
      <c r="C16" s="38"/>
      <c r="G16" s="97" t="s">
        <v>30</v>
      </c>
      <c r="O16" s="97" t="s">
        <v>30</v>
      </c>
    </row>
    <row r="17" spans="1:15">
      <c r="A17" s="97" t="s">
        <v>265</v>
      </c>
      <c r="C17" s="38"/>
      <c r="G17" s="97" t="s">
        <v>31</v>
      </c>
      <c r="O17" s="97" t="s">
        <v>31</v>
      </c>
    </row>
    <row r="18" spans="1:15">
      <c r="A18" s="97" t="s">
        <v>265</v>
      </c>
      <c r="G18" s="97" t="s">
        <v>31</v>
      </c>
      <c r="O18" s="97" t="s">
        <v>31</v>
      </c>
    </row>
    <row r="19" spans="1:15">
      <c r="A19" s="97" t="s">
        <v>266</v>
      </c>
      <c r="G19" s="97" t="s">
        <v>31</v>
      </c>
      <c r="O19" s="97" t="s">
        <v>31</v>
      </c>
    </row>
    <row r="20" spans="1:15">
      <c r="A20" s="97" t="s">
        <v>265</v>
      </c>
      <c r="G20" s="97" t="s">
        <v>261</v>
      </c>
      <c r="O20" s="97" t="s">
        <v>239</v>
      </c>
    </row>
    <row r="21" spans="1:15">
      <c r="A21" s="97" t="s">
        <v>267</v>
      </c>
      <c r="G21" s="97" t="s">
        <v>31</v>
      </c>
      <c r="O21" s="97" t="s">
        <v>31</v>
      </c>
    </row>
    <row r="22" spans="1:15">
      <c r="A22" s="97" t="s">
        <v>268</v>
      </c>
      <c r="G22" s="97" t="s">
        <v>31</v>
      </c>
      <c r="O22" s="97" t="s">
        <v>31</v>
      </c>
    </row>
    <row r="23" spans="1:15">
      <c r="A23" s="97" t="s">
        <v>265</v>
      </c>
      <c r="G23" s="97" t="s">
        <v>31</v>
      </c>
      <c r="O23" s="97" t="s">
        <v>31</v>
      </c>
    </row>
    <row r="24" spans="1:15">
      <c r="A24" s="97" t="s">
        <v>265</v>
      </c>
      <c r="G24" s="97" t="s">
        <v>253</v>
      </c>
      <c r="O24" s="97" t="s">
        <v>248</v>
      </c>
    </row>
    <row r="25" spans="1:15">
      <c r="A25" s="97" t="s">
        <v>265</v>
      </c>
      <c r="G25" s="97" t="s">
        <v>27</v>
      </c>
      <c r="O25" s="97" t="s">
        <v>27</v>
      </c>
    </row>
    <row r="26" spans="1:15">
      <c r="A26" s="97" t="s">
        <v>265</v>
      </c>
      <c r="G26" s="97" t="s">
        <v>26</v>
      </c>
      <c r="O26" s="97" t="s">
        <v>26</v>
      </c>
    </row>
    <row r="27" spans="1:15">
      <c r="A27" s="97" t="s">
        <v>265</v>
      </c>
      <c r="G27" s="97" t="s">
        <v>32</v>
      </c>
      <c r="I27" s="106"/>
      <c r="J27" s="106"/>
      <c r="K27" s="106"/>
      <c r="O27" s="97"/>
    </row>
    <row r="28" spans="1:15">
      <c r="A28" s="97" t="s">
        <v>265</v>
      </c>
      <c r="I28" s="106"/>
      <c r="J28" s="106"/>
      <c r="K28" s="106"/>
      <c r="O28" s="97" t="s">
        <v>236</v>
      </c>
    </row>
    <row r="29" spans="1:15">
      <c r="A29" s="97" t="s">
        <v>265</v>
      </c>
      <c r="I29" s="106"/>
      <c r="J29" s="106"/>
      <c r="K29" s="106"/>
    </row>
    <row r="30" spans="1:15">
      <c r="A30" s="97" t="s">
        <v>269</v>
      </c>
      <c r="I30" s="106"/>
      <c r="J30" s="106"/>
      <c r="K30" s="106"/>
    </row>
    <row r="31" spans="1:15">
      <c r="A31" s="97" t="s">
        <v>270</v>
      </c>
      <c r="I31" s="106"/>
      <c r="J31" s="106"/>
      <c r="K31" s="106"/>
    </row>
    <row r="32" spans="1:15">
      <c r="A32" s="97" t="s">
        <v>271</v>
      </c>
      <c r="I32" s="106"/>
      <c r="J32" s="106"/>
      <c r="K32" s="106"/>
    </row>
    <row r="33" spans="1:15">
      <c r="A33" s="97" t="s">
        <v>270</v>
      </c>
      <c r="I33" s="106"/>
      <c r="J33" s="106"/>
      <c r="K33" s="106"/>
    </row>
    <row r="34" spans="1:15">
      <c r="A34" s="97" t="s">
        <v>272</v>
      </c>
      <c r="I34" s="106"/>
      <c r="J34" s="106"/>
      <c r="K34" s="106"/>
    </row>
    <row r="35" spans="1:15">
      <c r="A35" s="97" t="s">
        <v>22</v>
      </c>
      <c r="H35" s="35"/>
      <c r="I35" s="106"/>
      <c r="J35" s="106"/>
      <c r="K35" s="106"/>
    </row>
    <row r="36" spans="1:15">
      <c r="A36" s="97" t="s">
        <v>22</v>
      </c>
      <c r="I36" s="106"/>
      <c r="J36" s="106"/>
      <c r="K36" s="106"/>
      <c r="L36" s="35" t="s">
        <v>3</v>
      </c>
    </row>
    <row r="37" spans="1:15">
      <c r="A37" s="97" t="s">
        <v>22</v>
      </c>
      <c r="I37" s="106"/>
      <c r="J37" s="106"/>
      <c r="K37" s="106"/>
      <c r="L37" s="61" t="s">
        <v>33</v>
      </c>
      <c r="M37" s="61" t="s">
        <v>34</v>
      </c>
      <c r="N37" s="61" t="s">
        <v>35</v>
      </c>
      <c r="O37" s="61" t="s">
        <v>36</v>
      </c>
    </row>
    <row r="38" spans="1:15">
      <c r="A38" s="97" t="s">
        <v>21</v>
      </c>
      <c r="I38" s="106"/>
      <c r="J38" s="106"/>
      <c r="K38" s="106"/>
      <c r="L38" s="62" t="s">
        <v>37</v>
      </c>
      <c r="M38" s="62">
        <v>539.4</v>
      </c>
      <c r="N38" s="62">
        <v>505.33600000000001</v>
      </c>
      <c r="O38" s="62">
        <v>502.33600000000001</v>
      </c>
    </row>
    <row r="39" spans="1:15">
      <c r="A39" s="97" t="s">
        <v>273</v>
      </c>
      <c r="I39" s="106"/>
      <c r="J39" s="106"/>
      <c r="K39" s="106"/>
      <c r="L39" s="60"/>
      <c r="M39" s="60"/>
      <c r="N39" s="60"/>
      <c r="O39" s="60"/>
    </row>
    <row r="40" spans="1:15">
      <c r="A40" s="97" t="s">
        <v>240</v>
      </c>
      <c r="I40" s="106"/>
      <c r="J40" s="106"/>
      <c r="K40" s="106"/>
    </row>
    <row r="41" spans="1:15">
      <c r="A41" s="97" t="s">
        <v>24</v>
      </c>
      <c r="I41" s="106"/>
      <c r="J41" s="106"/>
      <c r="K41" s="106"/>
    </row>
    <row r="42" spans="1:15">
      <c r="A42" s="97" t="s">
        <v>241</v>
      </c>
      <c r="I42" s="106"/>
      <c r="J42" s="106"/>
      <c r="K42" s="106"/>
    </row>
    <row r="43" spans="1:15" ht="16.2" thickBot="1"/>
    <row r="44" spans="1:15">
      <c r="A44" s="114" t="s">
        <v>152</v>
      </c>
      <c r="B44" s="115"/>
      <c r="C44" s="115"/>
      <c r="D44" s="115"/>
      <c r="E44" s="116"/>
    </row>
    <row r="45" spans="1:15" ht="16.2" thickBot="1">
      <c r="A45" s="117"/>
      <c r="B45" s="118"/>
      <c r="C45" s="118"/>
      <c r="D45" s="118"/>
      <c r="E45" s="119"/>
      <c r="G45" s="39"/>
      <c r="H45" s="39"/>
      <c r="I45" s="39"/>
      <c r="J45" s="39"/>
      <c r="K45" s="39"/>
      <c r="L45" s="39"/>
    </row>
    <row r="46" spans="1:15" ht="21">
      <c r="A46" s="51"/>
      <c r="B46" s="52" t="s">
        <v>0</v>
      </c>
      <c r="C46" s="52" t="s">
        <v>2</v>
      </c>
      <c r="D46" s="52" t="s">
        <v>1</v>
      </c>
      <c r="E46" s="123"/>
      <c r="F46" s="124"/>
      <c r="G46" s="39"/>
      <c r="H46" s="39"/>
      <c r="I46" s="39"/>
      <c r="J46" s="39"/>
      <c r="K46" s="39"/>
      <c r="L46" s="39"/>
    </row>
    <row r="47" spans="1:15" ht="37.5" customHeight="1" thickBot="1">
      <c r="A47" s="54" t="s">
        <v>3</v>
      </c>
      <c r="B47" s="41"/>
      <c r="C47" s="41"/>
      <c r="D47" s="41"/>
      <c r="E47" s="125"/>
      <c r="F47" s="126"/>
      <c r="G47" s="39"/>
      <c r="H47" s="39"/>
      <c r="I47" s="39"/>
      <c r="J47" s="39"/>
      <c r="K47" s="39"/>
      <c r="L47" s="39"/>
    </row>
    <row r="48" spans="1:15">
      <c r="A48" s="42"/>
      <c r="B48" s="43"/>
      <c r="C48" s="43"/>
      <c r="D48" s="43"/>
      <c r="E48" s="39"/>
      <c r="F48" s="39"/>
      <c r="G48" s="39"/>
      <c r="H48" s="39"/>
      <c r="I48" s="39"/>
      <c r="J48" s="39"/>
      <c r="K48" s="39"/>
      <c r="L48" s="39"/>
    </row>
    <row r="49" spans="1:21" hidden="1">
      <c r="A49" s="42"/>
      <c r="B49" s="43"/>
      <c r="C49" s="43"/>
      <c r="D49" s="43"/>
      <c r="E49" s="39"/>
      <c r="F49" s="39"/>
      <c r="G49" s="39"/>
      <c r="H49" s="39"/>
      <c r="I49" s="39"/>
      <c r="J49" s="39"/>
      <c r="K49" s="39"/>
      <c r="L49" s="39"/>
    </row>
    <row r="50" spans="1:21" ht="16.2" thickBot="1">
      <c r="A50" s="44"/>
      <c r="B50" s="45"/>
      <c r="C50" s="45"/>
      <c r="D50" s="45"/>
      <c r="E50" s="39"/>
      <c r="F50" s="39"/>
      <c r="G50" s="39"/>
      <c r="H50" s="39"/>
      <c r="I50" s="39"/>
      <c r="J50" s="39"/>
      <c r="K50" s="39"/>
      <c r="L50" s="39"/>
    </row>
    <row r="51" spans="1:21" ht="21">
      <c r="A51" s="51"/>
      <c r="B51" s="52" t="s">
        <v>0</v>
      </c>
      <c r="C51" s="52" t="s">
        <v>2</v>
      </c>
      <c r="D51" s="53" t="s">
        <v>1</v>
      </c>
      <c r="E51" s="127"/>
      <c r="F51" s="128"/>
      <c r="G51" s="39"/>
      <c r="H51" s="39"/>
      <c r="I51" s="39"/>
      <c r="J51" s="39"/>
      <c r="K51" s="39"/>
      <c r="L51" s="39"/>
    </row>
    <row r="52" spans="1:21" ht="33.75" customHeight="1">
      <c r="A52" s="133" t="s">
        <v>5</v>
      </c>
      <c r="B52" s="46"/>
      <c r="C52" s="46"/>
      <c r="D52" s="47"/>
      <c r="E52" s="129"/>
      <c r="F52" s="130"/>
      <c r="G52" s="39"/>
      <c r="H52" s="39"/>
      <c r="I52" s="39"/>
      <c r="J52" s="39"/>
      <c r="K52" s="39"/>
      <c r="L52" s="39"/>
    </row>
    <row r="53" spans="1:21" ht="33.75" customHeight="1">
      <c r="A53" s="134"/>
      <c r="B53" s="46"/>
      <c r="C53" s="46"/>
      <c r="D53" s="47"/>
      <c r="E53" s="129"/>
      <c r="F53" s="130"/>
      <c r="G53" s="39"/>
      <c r="H53" s="39"/>
      <c r="I53" s="39"/>
      <c r="J53" s="39"/>
      <c r="K53" s="39"/>
      <c r="L53" s="39"/>
    </row>
    <row r="54" spans="1:21" ht="34.5" customHeight="1" thickBot="1">
      <c r="A54" s="135"/>
      <c r="B54" s="48"/>
      <c r="C54" s="48"/>
      <c r="D54" s="49"/>
      <c r="E54" s="131"/>
      <c r="F54" s="132"/>
      <c r="G54" s="39"/>
      <c r="H54" s="39"/>
      <c r="I54" s="39"/>
      <c r="J54" s="39"/>
      <c r="K54" s="39"/>
      <c r="L54" s="39"/>
    </row>
    <row r="55" spans="1:21">
      <c r="A55" s="42"/>
      <c r="B55" s="43"/>
      <c r="C55" s="43"/>
      <c r="D55" s="43"/>
      <c r="E55" s="39"/>
      <c r="F55" s="39"/>
      <c r="G55" s="39"/>
      <c r="H55" s="39"/>
      <c r="I55" s="39"/>
      <c r="J55" s="39"/>
      <c r="K55" s="39"/>
      <c r="L55" s="39"/>
    </row>
    <row r="56" spans="1:21" ht="16.2" thickBot="1">
      <c r="A56" s="42"/>
      <c r="B56" s="43"/>
      <c r="C56" s="43"/>
      <c r="D56" s="43"/>
      <c r="E56" s="39"/>
      <c r="F56" s="39"/>
      <c r="G56" s="39"/>
      <c r="H56" s="39"/>
      <c r="I56" s="39"/>
      <c r="J56" s="39"/>
      <c r="K56" s="39"/>
      <c r="L56" s="39"/>
    </row>
    <row r="57" spans="1:21" ht="21">
      <c r="A57" s="99"/>
      <c r="B57" s="100" t="s">
        <v>0</v>
      </c>
      <c r="C57" s="100" t="s">
        <v>2</v>
      </c>
      <c r="D57" s="101" t="s">
        <v>1</v>
      </c>
      <c r="E57" s="39"/>
      <c r="F57" s="39"/>
      <c r="G57" s="39"/>
      <c r="H57" s="39"/>
      <c r="I57" s="39"/>
      <c r="J57" s="39"/>
      <c r="K57" s="39"/>
      <c r="L57" s="39"/>
      <c r="U57" s="36">
        <f>(596-638)/2</f>
        <v>-21</v>
      </c>
    </row>
    <row r="58" spans="1:21" ht="57.75" customHeight="1" thickBot="1">
      <c r="A58" s="105" t="s">
        <v>148</v>
      </c>
      <c r="B58" s="48"/>
      <c r="C58" s="48"/>
      <c r="D58" s="98"/>
      <c r="E58" s="39"/>
      <c r="F58" s="39"/>
      <c r="G58" s="39"/>
      <c r="H58" s="39"/>
      <c r="I58" s="39"/>
      <c r="J58" s="39"/>
      <c r="K58" s="39"/>
      <c r="L58" s="39"/>
    </row>
    <row r="59" spans="1:21" ht="5.25" hidden="1" customHeight="1">
      <c r="A59" s="104"/>
      <c r="B59" s="103"/>
      <c r="C59" s="103"/>
      <c r="D59" s="103"/>
      <c r="E59" s="39"/>
      <c r="F59" s="39"/>
      <c r="G59" s="39"/>
      <c r="H59" s="39"/>
      <c r="I59" s="39"/>
      <c r="J59" s="39"/>
      <c r="K59" s="39"/>
      <c r="L59" s="39"/>
    </row>
    <row r="60" spans="1:21">
      <c r="A60" s="44"/>
      <c r="B60" s="45"/>
      <c r="C60" s="45"/>
      <c r="D60" s="45"/>
      <c r="E60" s="39"/>
      <c r="F60" s="39"/>
      <c r="G60" s="39"/>
      <c r="H60" s="39"/>
      <c r="I60" s="39"/>
      <c r="J60" s="39"/>
      <c r="K60" s="39"/>
      <c r="L60" s="39"/>
    </row>
    <row r="61" spans="1:21">
      <c r="A61" s="44"/>
      <c r="B61" s="45"/>
      <c r="C61" s="45"/>
      <c r="D61" s="45"/>
      <c r="E61" s="39"/>
      <c r="F61" s="39"/>
      <c r="G61" s="39"/>
      <c r="H61" s="39"/>
      <c r="I61" s="39"/>
      <c r="J61" s="39"/>
      <c r="K61" s="39"/>
      <c r="L61" s="39"/>
    </row>
    <row r="62" spans="1:21" ht="16.2" thickBot="1">
      <c r="A62" s="44"/>
      <c r="B62" s="45"/>
      <c r="C62" s="45"/>
      <c r="D62" s="45"/>
      <c r="E62" s="39"/>
      <c r="F62" s="39"/>
      <c r="G62" s="39"/>
      <c r="H62" s="39"/>
      <c r="I62" s="39"/>
      <c r="J62" s="39"/>
      <c r="K62" s="39"/>
      <c r="L62" s="39"/>
    </row>
    <row r="63" spans="1:21" ht="21">
      <c r="A63" s="51"/>
      <c r="B63" s="52" t="s">
        <v>0</v>
      </c>
      <c r="C63" s="52" t="s">
        <v>2</v>
      </c>
      <c r="D63" s="53" t="s">
        <v>1</v>
      </c>
      <c r="E63" s="127"/>
      <c r="F63" s="128"/>
      <c r="G63" s="39"/>
      <c r="H63" s="39"/>
      <c r="I63" s="39"/>
      <c r="J63" s="39"/>
      <c r="K63" s="39"/>
      <c r="L63" s="39"/>
    </row>
    <row r="64" spans="1:21" ht="21.75" customHeight="1">
      <c r="A64" s="120" t="s">
        <v>147</v>
      </c>
      <c r="B64" s="46"/>
      <c r="C64" s="46"/>
      <c r="D64" s="47"/>
      <c r="E64" s="129"/>
      <c r="F64" s="130"/>
      <c r="G64" s="39"/>
      <c r="H64" s="39"/>
      <c r="I64" s="39"/>
      <c r="J64" s="39"/>
      <c r="K64" s="39"/>
      <c r="L64" s="39"/>
    </row>
    <row r="65" spans="1:12" ht="21.75" customHeight="1">
      <c r="A65" s="121"/>
      <c r="B65" s="46"/>
      <c r="C65" s="46"/>
      <c r="D65" s="47"/>
      <c r="E65" s="129"/>
      <c r="F65" s="130"/>
      <c r="G65" s="39"/>
      <c r="H65" s="39"/>
      <c r="I65" s="39"/>
      <c r="J65" s="39"/>
      <c r="K65" s="39"/>
      <c r="L65" s="39"/>
    </row>
    <row r="66" spans="1:12" ht="21.75" customHeight="1" thickBot="1">
      <c r="A66" s="122"/>
      <c r="B66" s="41"/>
      <c r="C66" s="41"/>
      <c r="D66" s="50"/>
      <c r="E66" s="131"/>
      <c r="F66" s="132"/>
      <c r="G66" s="39"/>
      <c r="H66" s="39"/>
      <c r="I66" s="39"/>
      <c r="J66" s="39"/>
      <c r="K66" s="39"/>
      <c r="L66" s="39"/>
    </row>
    <row r="67" spans="1:12">
      <c r="A67" s="40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</row>
    <row r="68" spans="1:12">
      <c r="A68" s="40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</row>
    <row r="69" spans="1:12" ht="18">
      <c r="A69" s="40"/>
      <c r="B69" s="63"/>
      <c r="C69" s="63"/>
      <c r="D69" s="39"/>
      <c r="E69" s="39"/>
      <c r="F69" s="39"/>
      <c r="G69" s="39"/>
      <c r="H69" s="39"/>
      <c r="I69" s="39"/>
      <c r="J69" s="39"/>
      <c r="K69" s="39"/>
      <c r="L69" s="39"/>
    </row>
    <row r="70" spans="1:12" ht="18">
      <c r="A70" s="40"/>
      <c r="B70" s="63"/>
      <c r="C70" s="63"/>
      <c r="D70" s="39"/>
      <c r="E70" s="39"/>
      <c r="F70" s="39"/>
      <c r="G70" s="39"/>
      <c r="H70" s="39"/>
      <c r="I70" s="39"/>
      <c r="J70" s="39"/>
      <c r="K70" s="39"/>
      <c r="L70" s="39"/>
    </row>
    <row r="71" spans="1:12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</row>
    <row r="72" spans="1:12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</row>
    <row r="73" spans="1:12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</row>
  </sheetData>
  <mergeCells count="6">
    <mergeCell ref="A44:E45"/>
    <mergeCell ref="A64:A66"/>
    <mergeCell ref="E46:F47"/>
    <mergeCell ref="E63:F66"/>
    <mergeCell ref="A52:A54"/>
    <mergeCell ref="E51:F54"/>
  </mergeCells>
  <phoneticPr fontId="1" type="noConversion"/>
  <pageMargins left="0.7" right="0.7" top="0.75" bottom="0.75" header="0.3" footer="0.3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Z64"/>
  <sheetViews>
    <sheetView showGridLines="0" view="pageBreakPreview" zoomScaleNormal="100" zoomScaleSheetLayoutView="100" workbookViewId="0">
      <selection activeCell="I27" sqref="I27:K40"/>
    </sheetView>
  </sheetViews>
  <sheetFormatPr defaultColWidth="9" defaultRowHeight="15.6"/>
  <cols>
    <col min="1" max="1" width="9" style="1"/>
    <col min="2" max="2" width="11.6640625" style="1" bestFit="1" customWidth="1"/>
    <col min="3" max="7" width="9" style="1"/>
    <col min="8" max="8" width="14" style="1" bestFit="1" customWidth="1"/>
    <col min="9" max="11" width="11.109375" style="1" bestFit="1" customWidth="1"/>
    <col min="12" max="12" width="9" style="1" customWidth="1"/>
    <col min="13" max="13" width="18" style="1" bestFit="1" customWidth="1"/>
    <col min="14" max="15" width="9" style="1"/>
    <col min="16" max="16" width="14.33203125" style="1" customWidth="1"/>
    <col min="17" max="18" width="9" style="1" customWidth="1"/>
    <col min="19" max="21" width="9" style="2" customWidth="1"/>
    <col min="22" max="25" width="9" style="1" customWidth="1"/>
    <col min="26" max="16384" width="9" style="1"/>
  </cols>
  <sheetData>
    <row r="3" spans="2:26" ht="15" customHeight="1">
      <c r="I3" s="13" t="s">
        <v>279</v>
      </c>
      <c r="K3" s="13" t="s">
        <v>280</v>
      </c>
    </row>
    <row r="4" spans="2:26" ht="15" customHeight="1">
      <c r="B4" s="5"/>
      <c r="C4" s="5" t="s">
        <v>0</v>
      </c>
      <c r="D4" s="5" t="s">
        <v>2</v>
      </c>
      <c r="E4" s="5" t="s">
        <v>1</v>
      </c>
      <c r="F4" s="14"/>
      <c r="I4" s="1">
        <f>MAX(I7:I20)</f>
        <v>0</v>
      </c>
      <c r="K4" s="1">
        <f>MIN(J7:J20)</f>
        <v>0</v>
      </c>
      <c r="R4" s="149"/>
      <c r="S4" s="149"/>
      <c r="T4" s="149"/>
      <c r="U4" s="149"/>
    </row>
    <row r="5" spans="2:26" ht="15" customHeight="1" thickBot="1">
      <c r="B5" s="5" t="s">
        <v>3</v>
      </c>
      <c r="C5"/>
      <c r="D5"/>
      <c r="E5"/>
      <c r="F5" s="14"/>
      <c r="H5" s="4"/>
      <c r="I5" s="4"/>
      <c r="J5" s="4"/>
      <c r="K5" s="4"/>
      <c r="M5" s="1" t="s">
        <v>10</v>
      </c>
      <c r="R5" s="13" t="s">
        <v>15</v>
      </c>
    </row>
    <row r="6" spans="2:26" ht="15" customHeight="1">
      <c r="B6" s="14"/>
      <c r="C6" s="14"/>
      <c r="D6" s="14"/>
      <c r="E6" s="14"/>
      <c r="F6" s="14"/>
      <c r="H6" s="12" t="s">
        <v>12</v>
      </c>
      <c r="I6" s="9" t="s">
        <v>6</v>
      </c>
      <c r="J6" s="9" t="s">
        <v>8</v>
      </c>
      <c r="K6" s="9" t="s">
        <v>7</v>
      </c>
      <c r="M6" s="12" t="s">
        <v>12</v>
      </c>
      <c r="N6" s="10" t="s">
        <v>6</v>
      </c>
      <c r="O6" s="10" t="s">
        <v>8</v>
      </c>
      <c r="P6" s="11" t="s">
        <v>7</v>
      </c>
      <c r="R6" s="8" t="s">
        <v>4</v>
      </c>
      <c r="S6" s="9" t="s">
        <v>6</v>
      </c>
      <c r="T6" s="9" t="s">
        <v>8</v>
      </c>
      <c r="U6" s="9" t="s">
        <v>7</v>
      </c>
    </row>
    <row r="7" spans="2:26" ht="15" customHeight="1">
      <c r="B7" s="14"/>
      <c r="C7" s="14"/>
      <c r="D7" s="14"/>
      <c r="E7" s="14"/>
      <c r="F7" s="14"/>
      <c r="H7" s="150" t="s">
        <v>13</v>
      </c>
      <c r="I7" s="6">
        <f>0+C10/2</f>
        <v>0</v>
      </c>
      <c r="J7" s="6">
        <f>0-E10/2</f>
        <v>0</v>
      </c>
      <c r="K7" s="6">
        <f>J7+D10</f>
        <v>0</v>
      </c>
      <c r="M7" s="150" t="s">
        <v>13</v>
      </c>
      <c r="N7" s="66">
        <f>ABS(I7-$I$4)</f>
        <v>0</v>
      </c>
      <c r="O7" s="66">
        <f>J7-$K$4</f>
        <v>0</v>
      </c>
      <c r="P7" s="71">
        <f>K7-$K$4</f>
        <v>0</v>
      </c>
      <c r="R7" s="151" t="s">
        <v>13</v>
      </c>
      <c r="S7" s="20" t="str">
        <f>IF($C$10=0,"",N7)</f>
        <v/>
      </c>
      <c r="T7" s="20" t="str">
        <f t="shared" ref="T7:U8" si="0">IF($C$10=0," ",O7)</f>
        <v xml:space="preserve"> </v>
      </c>
      <c r="U7" s="20" t="str">
        <f t="shared" si="0"/>
        <v xml:space="preserve"> </v>
      </c>
    </row>
    <row r="8" spans="2:26" ht="15" customHeight="1">
      <c r="F8" s="14"/>
      <c r="H8" s="147"/>
      <c r="I8" s="6">
        <f>I7-C10</f>
        <v>0</v>
      </c>
      <c r="J8" s="6">
        <f>J7</f>
        <v>0</v>
      </c>
      <c r="K8" s="6">
        <f>J8+E10</f>
        <v>0</v>
      </c>
      <c r="M8" s="147"/>
      <c r="N8" s="66">
        <f t="shared" ref="N8" si="1">ABS(I8-$I$4)</f>
        <v>0</v>
      </c>
      <c r="O8" s="66">
        <f>IF(J8="NA","NA",J8-$K$4)</f>
        <v>0</v>
      </c>
      <c r="P8" s="71">
        <f>IF(K8="NA","NA",K8-$K$4)</f>
        <v>0</v>
      </c>
      <c r="R8" s="151"/>
      <c r="S8" s="20" t="str">
        <f>IF($C$10=0,"",N8)</f>
        <v/>
      </c>
      <c r="T8" s="20" t="str">
        <f t="shared" si="0"/>
        <v xml:space="preserve"> </v>
      </c>
      <c r="U8" s="20" t="str">
        <f t="shared" si="0"/>
        <v xml:space="preserve"> </v>
      </c>
    </row>
    <row r="9" spans="2:26" ht="15" customHeight="1">
      <c r="B9" s="5"/>
      <c r="C9" s="5" t="s">
        <v>0</v>
      </c>
      <c r="D9" s="5" t="s">
        <v>2</v>
      </c>
      <c r="E9" s="5" t="s">
        <v>1</v>
      </c>
      <c r="F9" s="14"/>
      <c r="H9" s="148"/>
      <c r="I9" s="17"/>
      <c r="J9" s="17"/>
      <c r="K9" s="17"/>
      <c r="M9" s="148"/>
      <c r="N9" s="66"/>
      <c r="O9" s="66"/>
      <c r="P9" s="71"/>
      <c r="R9" s="151"/>
      <c r="S9" s="20"/>
      <c r="T9" s="20"/>
      <c r="U9" s="20"/>
    </row>
    <row r="10" spans="2:26" ht="15" customHeight="1">
      <c r="B10" s="139" t="s">
        <v>5</v>
      </c>
      <c r="C10"/>
      <c r="D10"/>
      <c r="E10"/>
      <c r="F10" s="14"/>
      <c r="H10" s="150" t="s">
        <v>14</v>
      </c>
      <c r="I10" s="7">
        <f>0+C11/2</f>
        <v>0</v>
      </c>
      <c r="J10" s="7">
        <f>0-E11/2-$E$23</f>
        <v>0</v>
      </c>
      <c r="K10" s="7">
        <f>J10+D11</f>
        <v>0</v>
      </c>
      <c r="M10" s="150" t="s">
        <v>14</v>
      </c>
      <c r="N10" s="68">
        <f>ABS(I10-$I$4)-E21</f>
        <v>0</v>
      </c>
      <c r="O10" s="68">
        <f>J10-$K$4</f>
        <v>0</v>
      </c>
      <c r="P10" s="72">
        <f>K10-$K$4</f>
        <v>0</v>
      </c>
      <c r="R10" s="151" t="s">
        <v>14</v>
      </c>
      <c r="S10" s="19" t="str">
        <f>IF($C$11=0,"",N10)</f>
        <v/>
      </c>
      <c r="T10" s="19" t="str">
        <f t="shared" ref="T10:U11" si="2">IF($C$11=0," ",O10)</f>
        <v xml:space="preserve"> </v>
      </c>
      <c r="U10" s="19" t="str">
        <f t="shared" si="2"/>
        <v xml:space="preserve"> </v>
      </c>
    </row>
    <row r="11" spans="2:26" ht="15" customHeight="1">
      <c r="B11" s="139"/>
      <c r="C11"/>
      <c r="D11"/>
      <c r="E11"/>
      <c r="F11" s="14"/>
      <c r="H11" s="147"/>
      <c r="I11" s="7">
        <f>I10-C11</f>
        <v>0</v>
      </c>
      <c r="J11" s="7">
        <f>J10</f>
        <v>0</v>
      </c>
      <c r="K11" s="7">
        <f>IF(C11=C12,J10+E11,"NA")</f>
        <v>0</v>
      </c>
      <c r="M11" s="147"/>
      <c r="N11" s="68">
        <f>ABS(I11-$I$4)-E21</f>
        <v>0</v>
      </c>
      <c r="O11" s="68">
        <f>IF(J11="NA","NA",J11-$K$4)</f>
        <v>0</v>
      </c>
      <c r="P11" s="72">
        <f>IF(K11="NA","NA",K11-$K$4)</f>
        <v>0</v>
      </c>
      <c r="R11" s="151"/>
      <c r="S11" s="19" t="str">
        <f>IF($C$11=0,"",N11)</f>
        <v/>
      </c>
      <c r="T11" s="19" t="str">
        <f t="shared" si="2"/>
        <v xml:space="preserve"> </v>
      </c>
      <c r="U11" s="19" t="str">
        <f t="shared" si="2"/>
        <v xml:space="preserve"> </v>
      </c>
    </row>
    <row r="12" spans="2:26" ht="15" customHeight="1">
      <c r="B12" s="139"/>
      <c r="C12"/>
      <c r="D12"/>
      <c r="E12"/>
      <c r="F12" s="14"/>
      <c r="H12" s="148"/>
      <c r="I12" s="7" t="str">
        <f>IF(C11=C12,"",IF(C11=C12,"",I10-C12))</f>
        <v/>
      </c>
      <c r="J12" s="7" t="str">
        <f>IF(C11=C12,"","NA")</f>
        <v/>
      </c>
      <c r="K12" s="7" t="str">
        <f>IF(C11=C12,"",J10+E11)</f>
        <v/>
      </c>
      <c r="M12" s="148"/>
      <c r="N12" s="68" t="str">
        <f>IFERROR(ABS(I12-$I$4)-E21,"")</f>
        <v/>
      </c>
      <c r="O12" s="68" t="str">
        <f>IFERROR(IF(J12="NA","NA",J12-$K$4),"")</f>
        <v/>
      </c>
      <c r="P12" s="72" t="str">
        <f>IFERROR(IF(K12="NA","NA",K12-$K$4),"")</f>
        <v/>
      </c>
      <c r="R12" s="151"/>
      <c r="S12" s="19" t="str">
        <f>IF($C$12=0,"",N12)</f>
        <v/>
      </c>
      <c r="T12" s="19" t="str">
        <f>IF($C$12=0,"",O12)</f>
        <v/>
      </c>
      <c r="U12" s="19" t="str">
        <f>IF($C$12=0,"",P12)</f>
        <v/>
      </c>
    </row>
    <row r="13" spans="2:26" ht="15" customHeight="1">
      <c r="B13" s="102" t="s">
        <v>255</v>
      </c>
      <c r="C13"/>
      <c r="D13"/>
      <c r="E13"/>
      <c r="F13" s="14"/>
      <c r="H13" s="150" t="s">
        <v>9</v>
      </c>
      <c r="I13" s="20">
        <f>0+C5/2</f>
        <v>0</v>
      </c>
      <c r="J13" s="20">
        <f>0-E5/2</f>
        <v>0</v>
      </c>
      <c r="K13" s="20">
        <f>J13+D5</f>
        <v>0</v>
      </c>
      <c r="M13" s="152" t="s">
        <v>9</v>
      </c>
      <c r="N13" s="66">
        <f>ABS(I13-$I$4)+0.0001</f>
        <v>1E-4</v>
      </c>
      <c r="O13" s="66">
        <f>J13-$K$4</f>
        <v>0</v>
      </c>
      <c r="P13" s="71">
        <f>K13-$K$4</f>
        <v>0</v>
      </c>
      <c r="R13" s="151" t="s">
        <v>9</v>
      </c>
      <c r="S13" s="67" t="str">
        <f>IF($C$5=0,"",N13)</f>
        <v/>
      </c>
      <c r="T13" s="20" t="str">
        <f t="shared" ref="T13:U14" si="3">IF($C$5=0," ",O13)</f>
        <v xml:space="preserve"> </v>
      </c>
      <c r="U13" s="20" t="str">
        <f t="shared" si="3"/>
        <v xml:space="preserve"> </v>
      </c>
      <c r="Z13" s="1" t="str">
        <f>IF(J11="NA","NA","")</f>
        <v/>
      </c>
    </row>
    <row r="14" spans="2:26" ht="15" customHeight="1">
      <c r="B14" s="14"/>
      <c r="C14" s="14"/>
      <c r="D14" s="14"/>
      <c r="E14" s="14"/>
      <c r="F14" s="14"/>
      <c r="H14" s="147"/>
      <c r="I14" s="20">
        <f>I13-C5</f>
        <v>0</v>
      </c>
      <c r="J14" s="20">
        <f>J13</f>
        <v>0</v>
      </c>
      <c r="K14" s="20">
        <f>J14+E5</f>
        <v>0</v>
      </c>
      <c r="M14" s="152"/>
      <c r="N14" s="66">
        <f>ABS(I14-$I$4)-0.0001</f>
        <v>-1E-4</v>
      </c>
      <c r="O14" s="66">
        <f>IF(J14="NA","NA",J14-$K$4)</f>
        <v>0</v>
      </c>
      <c r="P14" s="71">
        <f>IF(K14="NA","NA",K14-$K$4)</f>
        <v>0</v>
      </c>
      <c r="R14" s="151"/>
      <c r="S14" s="20" t="str">
        <f>IF($C$5=0,"",N14)</f>
        <v/>
      </c>
      <c r="T14" s="20" t="str">
        <f t="shared" si="3"/>
        <v xml:space="preserve"> </v>
      </c>
      <c r="U14" s="20" t="str">
        <f t="shared" si="3"/>
        <v xml:space="preserve"> </v>
      </c>
    </row>
    <row r="15" spans="2:26" ht="15" customHeight="1">
      <c r="B15" s="5"/>
      <c r="C15" s="5" t="s">
        <v>0</v>
      </c>
      <c r="D15" s="5" t="s">
        <v>2</v>
      </c>
      <c r="E15" s="5" t="s">
        <v>1</v>
      </c>
      <c r="F15" s="14"/>
      <c r="H15" s="148"/>
      <c r="I15" s="20"/>
      <c r="J15" s="20"/>
      <c r="K15" s="20"/>
      <c r="M15" s="152"/>
      <c r="N15" s="66"/>
      <c r="O15" s="66"/>
      <c r="P15" s="71"/>
      <c r="R15" s="151"/>
      <c r="S15" s="20"/>
      <c r="T15" s="20"/>
      <c r="U15" s="20"/>
    </row>
    <row r="16" spans="2:26" ht="15" customHeight="1">
      <c r="B16" s="140" t="s">
        <v>129</v>
      </c>
      <c r="C16"/>
      <c r="D16"/>
      <c r="E16"/>
      <c r="F16" s="14"/>
      <c r="H16" s="151" t="s">
        <v>11</v>
      </c>
      <c r="I16" s="7">
        <f>0+C16/2+E21</f>
        <v>0</v>
      </c>
      <c r="J16" s="7">
        <f>0-E16/2-$E$23</f>
        <v>0</v>
      </c>
      <c r="K16" s="7">
        <f>J16+D16</f>
        <v>0</v>
      </c>
      <c r="M16" s="151" t="s">
        <v>11</v>
      </c>
      <c r="N16" s="68">
        <f>ABS(I16-$I$4)</f>
        <v>0</v>
      </c>
      <c r="O16" s="68">
        <f>J16-$K$4</f>
        <v>0</v>
      </c>
      <c r="P16" s="72">
        <f>K16-$K$4</f>
        <v>0</v>
      </c>
      <c r="R16" s="150" t="s">
        <v>11</v>
      </c>
      <c r="S16" s="19" t="str">
        <f>IF($C$16=0,"",N16)</f>
        <v/>
      </c>
      <c r="T16" s="19" t="str">
        <f t="shared" ref="T16:U16" si="4">IF($C$16=0," ",O16)</f>
        <v xml:space="preserve"> </v>
      </c>
      <c r="U16" s="19" t="str">
        <f t="shared" si="4"/>
        <v xml:space="preserve"> </v>
      </c>
      <c r="V16" s="27" t="str">
        <f>IF(C17="",IF(C13=0,"",0),0)</f>
        <v/>
      </c>
      <c r="W16" s="27" t="str">
        <f>IF(C17="",IF(C13=0,"",0),0)</f>
        <v/>
      </c>
      <c r="X16" s="27" t="str">
        <f>IF(C17="",IF(C13=0,"",C13),C17)</f>
        <v/>
      </c>
    </row>
    <row r="17" spans="1:21" ht="15" customHeight="1">
      <c r="B17" s="141"/>
      <c r="C17"/>
      <c r="D17"/>
      <c r="E17"/>
      <c r="F17" s="14"/>
      <c r="H17" s="151"/>
      <c r="I17" s="7">
        <f>I16-C16</f>
        <v>0</v>
      </c>
      <c r="J17" s="7">
        <f>J16</f>
        <v>0</v>
      </c>
      <c r="K17" s="7">
        <f>IF(C16=C18,J16+D16,"NA")</f>
        <v>0</v>
      </c>
      <c r="M17" s="151"/>
      <c r="N17" s="68">
        <f>ABS(I17-$I$4)</f>
        <v>0</v>
      </c>
      <c r="O17" s="68">
        <f>IF(J17="NA","NA",J17-$K$4)</f>
        <v>0</v>
      </c>
      <c r="P17" s="72">
        <f>IF(K17="NA","NA",K17-$K$4)</f>
        <v>0</v>
      </c>
      <c r="R17" s="147"/>
      <c r="S17" s="19" t="str">
        <f>IF($C$17=0,"",N17)</f>
        <v/>
      </c>
      <c r="T17" s="19" t="str">
        <f t="shared" ref="T17:U17" si="5">IF($C$17=0,"",O17)</f>
        <v/>
      </c>
      <c r="U17" s="19" t="str">
        <f t="shared" si="5"/>
        <v/>
      </c>
    </row>
    <row r="18" spans="1:21" ht="15" customHeight="1">
      <c r="B18" s="142"/>
      <c r="C18"/>
      <c r="D18"/>
      <c r="E18"/>
      <c r="F18" s="14"/>
      <c r="H18" s="151"/>
      <c r="I18" s="7" t="str">
        <f>IF(C16=C18,"",I16-C18)</f>
        <v/>
      </c>
      <c r="J18" s="7" t="str">
        <f>IF(C16=C18,"","NA")</f>
        <v/>
      </c>
      <c r="K18" s="7" t="str">
        <f>IF(C16=C18,"",J16+E16)</f>
        <v/>
      </c>
      <c r="M18" s="151"/>
      <c r="N18" s="68" t="str">
        <f>IF(C17=C18,"",ABS(I18-$I$4)-E21)</f>
        <v/>
      </c>
      <c r="O18" s="68" t="str">
        <f>IF(J18="","",IF(J18="NA","NA",J18-$K$4))</f>
        <v/>
      </c>
      <c r="P18" s="72" t="str">
        <f>IF(K18="","",IF(K18="NA","NA",K18-$K$4))</f>
        <v/>
      </c>
      <c r="R18" s="147"/>
      <c r="S18" s="19" t="str">
        <f>IF($C$17=0,"",N18)</f>
        <v/>
      </c>
      <c r="T18" s="19" t="str">
        <f t="shared" ref="T18" si="6">IF($C$17=0,"",O18)</f>
        <v/>
      </c>
      <c r="U18" s="19" t="str">
        <f t="shared" ref="U18" si="7">IF($C$17=0,"",P18)</f>
        <v/>
      </c>
    </row>
    <row r="19" spans="1:21" ht="15" customHeight="1">
      <c r="H19" s="146" t="s">
        <v>39</v>
      </c>
      <c r="I19" s="18"/>
      <c r="J19" s="18"/>
      <c r="K19" s="18"/>
      <c r="M19" s="146" t="s">
        <v>39</v>
      </c>
      <c r="N19" s="73"/>
      <c r="O19" s="73"/>
      <c r="P19" s="73"/>
      <c r="R19" s="146" t="s">
        <v>39</v>
      </c>
      <c r="S19" s="18"/>
      <c r="T19" s="18"/>
      <c r="U19" s="18"/>
    </row>
    <row r="20" spans="1:21" ht="15" customHeight="1">
      <c r="C20" s="14" t="s">
        <v>125</v>
      </c>
      <c r="D20" s="14" t="s">
        <v>126</v>
      </c>
      <c r="E20" s="1" t="s">
        <v>127</v>
      </c>
      <c r="H20" s="147"/>
      <c r="I20" s="18"/>
      <c r="J20" s="18"/>
      <c r="K20" s="18"/>
      <c r="M20" s="147"/>
      <c r="N20" s="73"/>
      <c r="O20" s="73"/>
      <c r="P20" s="73"/>
      <c r="R20" s="147"/>
      <c r="S20" s="18"/>
      <c r="T20" s="18"/>
      <c r="U20" s="18"/>
    </row>
    <row r="21" spans="1:21" ht="15" customHeight="1">
      <c r="C21" s="14"/>
      <c r="D21" s="14"/>
      <c r="E21" s="14">
        <f>IF(A64=0,0,IF(C11="",(C10-C16)/2-C21,(C10-C11)/2-C21))</f>
        <v>0</v>
      </c>
      <c r="H21" s="147"/>
      <c r="I21" s="18"/>
      <c r="J21" s="18"/>
      <c r="K21" s="18"/>
      <c r="M21" s="147"/>
      <c r="N21" s="73"/>
      <c r="O21" s="73"/>
      <c r="P21" s="73"/>
      <c r="R21" s="147"/>
      <c r="S21" s="18"/>
      <c r="T21" s="18"/>
      <c r="U21" s="18"/>
    </row>
    <row r="22" spans="1:21" ht="15" customHeight="1">
      <c r="E22" s="14" t="s">
        <v>128</v>
      </c>
      <c r="H22" s="148"/>
      <c r="I22" s="18"/>
      <c r="J22" s="18"/>
      <c r="K22" s="18"/>
      <c r="M22" s="148"/>
      <c r="N22" s="73"/>
      <c r="O22" s="73"/>
      <c r="P22" s="73"/>
      <c r="R22" s="148"/>
      <c r="S22" s="18"/>
      <c r="T22" s="18"/>
      <c r="U22" s="18"/>
    </row>
    <row r="23" spans="1:21" ht="15" customHeight="1">
      <c r="B23" s="16"/>
      <c r="E23" s="14">
        <f>IF(A64=0,0,IF(C11="",(E10-E16)/2-D21,(E10-E11)/2-D21))</f>
        <v>0</v>
      </c>
    </row>
    <row r="24" spans="1:21" ht="16.2">
      <c r="B24" s="13"/>
    </row>
    <row r="25" spans="1:21" ht="15" customHeight="1">
      <c r="S25" s="14" t="s">
        <v>134</v>
      </c>
      <c r="T25" s="14" t="s">
        <v>137</v>
      </c>
      <c r="U25" s="14" t="s">
        <v>138</v>
      </c>
    </row>
    <row r="26" spans="1:21" ht="21.6">
      <c r="H26" s="64" t="s">
        <v>177</v>
      </c>
      <c r="I26" s="15" t="s">
        <v>6</v>
      </c>
      <c r="J26" s="15" t="s">
        <v>8</v>
      </c>
      <c r="K26" s="15" t="s">
        <v>7</v>
      </c>
      <c r="M26" s="64" t="s">
        <v>176</v>
      </c>
      <c r="N26" s="15" t="s">
        <v>6</v>
      </c>
      <c r="O26" s="15" t="s">
        <v>8</v>
      </c>
      <c r="P26" s="15" t="s">
        <v>7</v>
      </c>
      <c r="S26" s="32">
        <f>MAX(I27:I42)</f>
        <v>440</v>
      </c>
      <c r="T26" s="34">
        <f>MAX(S27:S31)</f>
        <v>553</v>
      </c>
      <c r="U26" s="34">
        <f>MIN(S27:S31)</f>
        <v>550</v>
      </c>
    </row>
    <row r="27" spans="1:21" ht="20.100000000000001" customHeight="1">
      <c r="H27" s="70">
        <f>IF(I27="","-",1)</f>
        <v>1</v>
      </c>
      <c r="I27" s="56">
        <v>0</v>
      </c>
      <c r="J27" s="56">
        <v>0</v>
      </c>
      <c r="K27" s="56">
        <v>553</v>
      </c>
      <c r="M27" s="7" t="str">
        <f>IF(P27="","-",1)</f>
        <v>-</v>
      </c>
      <c r="N27" s="7"/>
      <c r="O27" s="7"/>
      <c r="P27" s="7"/>
      <c r="Q27" s="2"/>
      <c r="S27" s="33">
        <f>IFERROR(IF(K27-J27=0,"",K27-J27),"")</f>
        <v>553</v>
      </c>
      <c r="T27" s="1"/>
      <c r="U27" s="1"/>
    </row>
    <row r="28" spans="1:21" ht="20.100000000000001" customHeight="1">
      <c r="A28" s="65" t="s">
        <v>18</v>
      </c>
      <c r="H28" s="70">
        <f>IF(I28="","-",2)</f>
        <v>2</v>
      </c>
      <c r="I28" s="56">
        <v>440</v>
      </c>
      <c r="J28" s="56">
        <v>0</v>
      </c>
      <c r="K28" s="56">
        <v>550</v>
      </c>
      <c r="O28" s="2"/>
      <c r="P28" s="2"/>
      <c r="Q28" s="2"/>
      <c r="S28" s="33">
        <f t="shared" ref="S28:S42" si="8">IFERROR(IF(K28-J28=0,"",K28-J28),"")</f>
        <v>550</v>
      </c>
      <c r="T28" s="1"/>
      <c r="U28" s="1"/>
    </row>
    <row r="29" spans="1:21" ht="20.100000000000001" customHeight="1">
      <c r="A29" s="65" t="s">
        <v>20</v>
      </c>
      <c r="H29" s="70" t="str">
        <f>IF(I29="","-",3)</f>
        <v>-</v>
      </c>
      <c r="I29" s="56"/>
      <c r="J29" s="56"/>
      <c r="K29" s="56"/>
      <c r="O29" s="2"/>
      <c r="P29" s="2"/>
      <c r="Q29" s="2"/>
      <c r="S29" s="33" t="str">
        <f t="shared" si="8"/>
        <v/>
      </c>
      <c r="T29" s="1"/>
      <c r="U29" s="1"/>
    </row>
    <row r="30" spans="1:21" ht="20.100000000000001" customHeight="1">
      <c r="A30" s="36"/>
      <c r="H30" s="70" t="str">
        <f>IF(I30=""," -",4)</f>
        <v xml:space="preserve"> -</v>
      </c>
      <c r="I30" s="56"/>
      <c r="J30" s="56" t="s">
        <v>17</v>
      </c>
      <c r="K30" s="56" t="s">
        <v>17</v>
      </c>
      <c r="O30" s="2"/>
      <c r="P30" s="2"/>
      <c r="Q30" s="2"/>
      <c r="S30" s="33" t="str">
        <f>IFERROR(IF(K30-J30=0,"",K30-J30),"")</f>
        <v/>
      </c>
      <c r="T30" s="1"/>
      <c r="U30" s="1"/>
    </row>
    <row r="31" spans="1:21" ht="20.100000000000001" customHeight="1">
      <c r="H31" s="70" t="str">
        <f>IF(I31="","-",5)</f>
        <v>-</v>
      </c>
      <c r="I31" s="56"/>
      <c r="J31" s="56" t="s">
        <v>17</v>
      </c>
      <c r="K31" s="56" t="s">
        <v>17</v>
      </c>
      <c r="O31" s="2"/>
      <c r="P31" s="2"/>
      <c r="Q31" s="2"/>
      <c r="S31" s="33" t="str">
        <f t="shared" si="8"/>
        <v/>
      </c>
      <c r="T31" s="1"/>
      <c r="U31" s="1"/>
    </row>
    <row r="32" spans="1:21" ht="20.100000000000001" customHeight="1">
      <c r="H32" s="70" t="str">
        <f>IF(I32="","-",6)</f>
        <v>-</v>
      </c>
      <c r="I32" s="56"/>
      <c r="J32" s="56"/>
      <c r="K32" s="56"/>
      <c r="O32" s="2"/>
      <c r="P32" s="2"/>
      <c r="Q32" s="2"/>
      <c r="S32" s="33" t="str">
        <f t="shared" si="8"/>
        <v/>
      </c>
      <c r="T32" s="1"/>
      <c r="U32" s="1"/>
    </row>
    <row r="33" spans="8:25" ht="20.100000000000001" customHeight="1" thickBot="1">
      <c r="H33" s="70" t="str">
        <f>IF(I33="","-",7)</f>
        <v>-</v>
      </c>
      <c r="I33" s="56"/>
      <c r="J33" s="56" t="s">
        <v>17</v>
      </c>
      <c r="K33" s="56" t="s">
        <v>17</v>
      </c>
      <c r="O33" s="2"/>
      <c r="P33" s="2"/>
      <c r="Q33" s="2"/>
      <c r="S33" s="33" t="str">
        <f t="shared" si="8"/>
        <v/>
      </c>
      <c r="T33" s="1"/>
      <c r="U33" s="1"/>
    </row>
    <row r="34" spans="8:25" ht="20.100000000000001" customHeight="1">
      <c r="H34" s="70" t="str">
        <f>IF(I34=""," -",8)</f>
        <v xml:space="preserve"> -</v>
      </c>
      <c r="I34" s="56"/>
      <c r="J34" s="56" t="s">
        <v>17</v>
      </c>
      <c r="K34" s="56" t="s">
        <v>17</v>
      </c>
      <c r="M34" s="29" t="s">
        <v>133</v>
      </c>
      <c r="N34" s="143" t="s">
        <v>140</v>
      </c>
      <c r="O34" s="144"/>
      <c r="P34" s="145"/>
      <c r="Q34" s="2"/>
      <c r="S34" s="33" t="str">
        <f t="shared" si="8"/>
        <v/>
      </c>
      <c r="T34" s="1"/>
      <c r="U34" s="1"/>
    </row>
    <row r="35" spans="8:25" ht="20.100000000000001" customHeight="1">
      <c r="H35" s="70" t="str">
        <f>IF(I35="","-",9)</f>
        <v>-</v>
      </c>
      <c r="I35" s="56"/>
      <c r="J35" s="56"/>
      <c r="K35" s="56"/>
      <c r="M35" s="30" t="s">
        <v>131</v>
      </c>
      <c r="N35" s="136" t="str">
        <f>IFERROR(IF($S$26&gt;610,"NG",IF($U$26&lt;360,"NG",IF($T$26&gt;765,"NG","PASS"))),"請輸入所需靶距")</f>
        <v>PASS</v>
      </c>
      <c r="O35" s="137"/>
      <c r="P35" s="138"/>
      <c r="Q35" s="2"/>
      <c r="S35" s="33" t="str">
        <f t="shared" si="8"/>
        <v/>
      </c>
      <c r="T35" s="1"/>
      <c r="U35" s="1"/>
    </row>
    <row r="36" spans="8:25" ht="20.100000000000001" customHeight="1">
      <c r="H36" s="70" t="str">
        <f>IF(I36="","-",10)</f>
        <v>-</v>
      </c>
      <c r="I36" s="56"/>
      <c r="J36" s="56" t="s">
        <v>17</v>
      </c>
      <c r="K36" s="56" t="s">
        <v>17</v>
      </c>
      <c r="M36" s="30" t="s">
        <v>130</v>
      </c>
      <c r="N36" s="136" t="str">
        <f>IFERROR(IF($S$26&gt;820,"NG",IF($U$26&lt;420,"NG",IF($T$26&gt;820,"NG","PASS"))),"請輸入所需靶距")</f>
        <v>PASS</v>
      </c>
      <c r="O36" s="137"/>
      <c r="P36" s="138"/>
      <c r="Q36" s="2"/>
      <c r="S36" s="33" t="str">
        <f t="shared" si="8"/>
        <v/>
      </c>
      <c r="T36" s="1"/>
      <c r="U36" s="1"/>
    </row>
    <row r="37" spans="8:25" ht="20.100000000000001" customHeight="1" thickBot="1">
      <c r="H37" s="70" t="str">
        <f>IF(I37="","-",11)</f>
        <v>-</v>
      </c>
      <c r="I37" s="56"/>
      <c r="J37" s="56"/>
      <c r="K37" s="56"/>
      <c r="M37" s="31" t="s">
        <v>132</v>
      </c>
      <c r="N37" s="136" t="str">
        <f>IFERROR(IF($S$26&gt;765,"NG",IF($U$26&lt;280,"NG",IF($T$26&gt;760,"NG","PASS"))),"請輸入所需靶距")</f>
        <v>PASS</v>
      </c>
      <c r="O37" s="137"/>
      <c r="P37" s="138"/>
      <c r="Q37" s="2"/>
      <c r="S37" s="33" t="str">
        <f t="shared" si="8"/>
        <v/>
      </c>
      <c r="T37" s="1"/>
      <c r="U37" s="1"/>
      <c r="Y37" s="1" t="s">
        <v>175</v>
      </c>
    </row>
    <row r="38" spans="8:25" ht="20.100000000000001" customHeight="1">
      <c r="H38" s="70" t="str">
        <f>IF(I38=""," -",12)</f>
        <v xml:space="preserve"> -</v>
      </c>
      <c r="I38" s="56"/>
      <c r="J38" s="56"/>
      <c r="K38" s="56"/>
      <c r="O38" s="2"/>
      <c r="P38" s="2"/>
      <c r="Q38" s="2"/>
      <c r="S38" s="33" t="str">
        <f t="shared" si="8"/>
        <v/>
      </c>
      <c r="T38" s="1"/>
      <c r="U38" s="1"/>
    </row>
    <row r="39" spans="8:25" ht="20.100000000000001" customHeight="1">
      <c r="H39" s="70" t="str">
        <f>IF(I39="","-",13)</f>
        <v>-</v>
      </c>
      <c r="I39" s="56"/>
      <c r="J39" s="56"/>
      <c r="K39" s="56"/>
      <c r="O39" s="2"/>
      <c r="P39" s="2"/>
      <c r="Q39" s="2"/>
      <c r="S39" s="33" t="str">
        <f t="shared" si="8"/>
        <v/>
      </c>
      <c r="T39" s="1"/>
      <c r="U39" s="1"/>
    </row>
    <row r="40" spans="8:25" ht="21.75" customHeight="1">
      <c r="H40" s="70" t="str">
        <f>IF(I40="","-",14)</f>
        <v>-</v>
      </c>
      <c r="I40" s="56"/>
      <c r="J40" s="56"/>
      <c r="K40" s="56"/>
      <c r="S40" s="33" t="str">
        <f t="shared" si="8"/>
        <v/>
      </c>
    </row>
    <row r="41" spans="8:25" ht="20.100000000000001" customHeight="1">
      <c r="H41" s="70" t="str">
        <f>IF(I41="","-",15)</f>
        <v>-</v>
      </c>
      <c r="I41" s="56"/>
      <c r="J41" s="56"/>
      <c r="K41" s="56"/>
      <c r="S41" s="33" t="str">
        <f t="shared" si="8"/>
        <v/>
      </c>
    </row>
    <row r="42" spans="8:25" ht="20.100000000000001" customHeight="1">
      <c r="H42" s="70" t="str">
        <f>IF(I42=""," -",16)</f>
        <v xml:space="preserve"> -</v>
      </c>
      <c r="I42" s="56"/>
      <c r="J42" s="56"/>
      <c r="K42" s="56"/>
      <c r="S42" s="33" t="str">
        <f t="shared" si="8"/>
        <v/>
      </c>
    </row>
    <row r="43" spans="8:25">
      <c r="I43" s="69"/>
      <c r="J43" s="69"/>
      <c r="K43" s="69"/>
    </row>
    <row r="64" spans="1:1">
      <c r="A64" s="1">
        <f>IF(C11="",IF(C16="",0,1),1)</f>
        <v>0</v>
      </c>
    </row>
  </sheetData>
  <sortState ref="I27:K40">
    <sortCondition ref="I27:I40"/>
  </sortState>
  <mergeCells count="22">
    <mergeCell ref="R19:R22"/>
    <mergeCell ref="H13:H15"/>
    <mergeCell ref="M13:M15"/>
    <mergeCell ref="R13:R15"/>
    <mergeCell ref="H16:H18"/>
    <mergeCell ref="M16:M18"/>
    <mergeCell ref="R16:R18"/>
    <mergeCell ref="R4:U4"/>
    <mergeCell ref="H7:H9"/>
    <mergeCell ref="M7:M9"/>
    <mergeCell ref="R7:R9"/>
    <mergeCell ref="H10:H12"/>
    <mergeCell ref="M10:M12"/>
    <mergeCell ref="R10:R12"/>
    <mergeCell ref="N37:P37"/>
    <mergeCell ref="B10:B12"/>
    <mergeCell ref="B16:B18"/>
    <mergeCell ref="N34:P34"/>
    <mergeCell ref="N35:P35"/>
    <mergeCell ref="N36:P36"/>
    <mergeCell ref="H19:H22"/>
    <mergeCell ref="M19:M22"/>
  </mergeCells>
  <phoneticPr fontId="1" type="noConversion"/>
  <conditionalFormatting sqref="N35:P37">
    <cfRule type="containsText" dxfId="7" priority="1" operator="containsText" text="NG">
      <formula>NOT(ISERROR(SEARCH("NG",N35)))</formula>
    </cfRule>
    <cfRule type="containsText" dxfId="6" priority="2" operator="containsText" text="PASS">
      <formula>NOT(ISERROR(SEARCH("PASS",N35)))</formula>
    </cfRule>
  </conditionalFormatting>
  <pageMargins left="0.7" right="0.7" top="0.75" bottom="0.75" header="0.3" footer="0.3"/>
  <pageSetup paperSize="9" scale="3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AA64"/>
  <sheetViews>
    <sheetView showGridLines="0" view="pageBreakPreview" zoomScaleNormal="100" zoomScaleSheetLayoutView="100" workbookViewId="0">
      <selection activeCell="I27" sqref="I27:K42"/>
    </sheetView>
  </sheetViews>
  <sheetFormatPr defaultColWidth="9" defaultRowHeight="15.6"/>
  <cols>
    <col min="1" max="7" width="9" style="1" customWidth="1"/>
    <col min="8" max="8" width="14" style="1" bestFit="1" customWidth="1"/>
    <col min="9" max="11" width="9" style="1"/>
    <col min="12" max="12" width="9" style="1" customWidth="1"/>
    <col min="13" max="13" width="17.77734375" style="1" bestFit="1" customWidth="1"/>
    <col min="14" max="14" width="9" style="1"/>
    <col min="15" max="15" width="9" style="1" bestFit="1" customWidth="1"/>
    <col min="16" max="16" width="9.44140625" style="1" bestFit="1" customWidth="1"/>
    <col min="17" max="17" width="9" style="1"/>
    <col min="18" max="18" width="9" style="1" customWidth="1"/>
    <col min="19" max="19" width="10.6640625" style="2" customWidth="1"/>
    <col min="20" max="21" width="10" style="2" customWidth="1"/>
    <col min="22" max="22" width="9" style="1" customWidth="1"/>
    <col min="23" max="23" width="10.44140625" style="1" customWidth="1"/>
    <col min="24" max="24" width="15" style="1" customWidth="1"/>
    <col min="25" max="25" width="11.6640625" style="1" customWidth="1"/>
    <col min="26" max="26" width="9" style="1" customWidth="1"/>
    <col min="27" max="16384" width="9" style="1"/>
  </cols>
  <sheetData>
    <row r="4" spans="2:21" ht="16.2">
      <c r="B4" s="57"/>
      <c r="C4" s="59" t="s">
        <v>0</v>
      </c>
      <c r="D4" s="59" t="s">
        <v>2</v>
      </c>
      <c r="E4" s="59" t="s">
        <v>1</v>
      </c>
      <c r="F4" s="14"/>
      <c r="I4" s="1">
        <f>MAX(I7:I20)</f>
        <v>0</v>
      </c>
      <c r="K4" s="1">
        <f>MIN(J7:J20)</f>
        <v>0</v>
      </c>
      <c r="R4" s="149"/>
      <c r="S4" s="149"/>
      <c r="T4" s="149"/>
      <c r="U4" s="149"/>
    </row>
    <row r="5" spans="2:21" ht="16.2">
      <c r="B5" s="58" t="s">
        <v>3</v>
      </c>
      <c r="C5"/>
      <c r="D5"/>
      <c r="E5"/>
      <c r="F5" s="14"/>
      <c r="H5" s="4"/>
      <c r="I5" s="4"/>
      <c r="J5" s="4"/>
      <c r="K5" s="4"/>
      <c r="M5" s="1" t="s">
        <v>10</v>
      </c>
      <c r="R5" s="13" t="s">
        <v>15</v>
      </c>
    </row>
    <row r="6" spans="2:21" ht="21.6">
      <c r="B6" s="3"/>
      <c r="C6" s="3"/>
      <c r="D6" s="3"/>
      <c r="E6" s="3"/>
      <c r="F6" s="14"/>
      <c r="H6" s="8" t="s">
        <v>164</v>
      </c>
      <c r="I6" s="9" t="s">
        <v>6</v>
      </c>
      <c r="J6" s="9" t="s">
        <v>8</v>
      </c>
      <c r="K6" s="9" t="s">
        <v>7</v>
      </c>
      <c r="M6" s="8" t="s">
        <v>169</v>
      </c>
      <c r="N6" s="9" t="s">
        <v>6</v>
      </c>
      <c r="O6" s="9" t="s">
        <v>8</v>
      </c>
      <c r="P6" s="9" t="s">
        <v>7</v>
      </c>
      <c r="R6" s="8" t="s">
        <v>4</v>
      </c>
      <c r="S6" s="9" t="s">
        <v>6</v>
      </c>
      <c r="T6" s="9" t="s">
        <v>8</v>
      </c>
      <c r="U6" s="9" t="s">
        <v>7</v>
      </c>
    </row>
    <row r="7" spans="2:21" ht="16.5" customHeight="1">
      <c r="B7" s="3"/>
      <c r="C7" s="3"/>
      <c r="D7" s="3"/>
      <c r="E7" s="3"/>
      <c r="F7" s="14"/>
      <c r="H7" s="150" t="s">
        <v>165</v>
      </c>
      <c r="I7" s="77">
        <f>0+E10/2</f>
        <v>0</v>
      </c>
      <c r="J7" s="77">
        <f>0-C10/2</f>
        <v>0</v>
      </c>
      <c r="K7" s="77">
        <f>J7+C10</f>
        <v>0</v>
      </c>
      <c r="M7" s="151" t="s">
        <v>170</v>
      </c>
      <c r="N7" s="82">
        <f>ABS(I7-$I$4)</f>
        <v>0</v>
      </c>
      <c r="O7" s="82">
        <f>J7-$K$4</f>
        <v>0</v>
      </c>
      <c r="P7" s="82">
        <f>K7-$K$4</f>
        <v>0</v>
      </c>
      <c r="R7" s="151" t="s">
        <v>170</v>
      </c>
      <c r="S7" s="82" t="str">
        <f>IF($C$10=0,"",N7)</f>
        <v/>
      </c>
      <c r="T7" s="82" t="str">
        <f t="shared" ref="T7:U9" si="0">IF($C$10=0," ",O7)</f>
        <v xml:space="preserve"> </v>
      </c>
      <c r="U7" s="82" t="str">
        <f t="shared" si="0"/>
        <v xml:space="preserve"> </v>
      </c>
    </row>
    <row r="8" spans="2:21" ht="15.75" customHeight="1">
      <c r="F8" s="14"/>
      <c r="H8" s="147"/>
      <c r="I8" s="77">
        <f>I7-E10</f>
        <v>0</v>
      </c>
      <c r="J8" s="77">
        <f>IF(D10=E10,J7,J7)</f>
        <v>0</v>
      </c>
      <c r="K8" s="77">
        <f>IF(D10&lt;&gt;E10,"NA",K7)</f>
        <v>0</v>
      </c>
      <c r="M8" s="151"/>
      <c r="N8" s="82">
        <f t="shared" ref="N8:N15" si="1">ABS(I8-$I$4)</f>
        <v>0</v>
      </c>
      <c r="O8" s="82">
        <f>IF(J8="NA","NA",J8-$K$4)</f>
        <v>0</v>
      </c>
      <c r="P8" s="82">
        <f>IF(K8="NA","NA",K8-$K$4)</f>
        <v>0</v>
      </c>
      <c r="R8" s="151"/>
      <c r="S8" s="82" t="str">
        <f>IF($C$10=0,"",N8)</f>
        <v/>
      </c>
      <c r="T8" s="82" t="str">
        <f t="shared" si="0"/>
        <v xml:space="preserve"> </v>
      </c>
      <c r="U8" s="82" t="str">
        <f t="shared" si="0"/>
        <v xml:space="preserve"> </v>
      </c>
    </row>
    <row r="9" spans="2:21" ht="15.75" customHeight="1">
      <c r="B9" s="58"/>
      <c r="C9" s="58" t="s">
        <v>161</v>
      </c>
      <c r="D9" s="58" t="s">
        <v>162</v>
      </c>
      <c r="E9" s="58" t="s">
        <v>163</v>
      </c>
      <c r="F9" s="14"/>
      <c r="H9" s="148"/>
      <c r="I9" s="77" t="str">
        <f>IF(D10&lt;&gt;E10,I7-D10,"")</f>
        <v/>
      </c>
      <c r="J9" s="77" t="str">
        <f>IF(D10&lt;&gt;E10,"NA","")</f>
        <v/>
      </c>
      <c r="K9" s="77" t="str">
        <f>IF(D10&lt;&gt;E10,K7,"")</f>
        <v/>
      </c>
      <c r="M9" s="151"/>
      <c r="N9" s="82" t="str">
        <f>IF(D10&lt;&gt;E10,ABS(I9-$I$4),"")</f>
        <v/>
      </c>
      <c r="O9" s="82" t="str">
        <f>IF(D10=E10,"",IF(J9="NA","NA",J9-$K$4))</f>
        <v/>
      </c>
      <c r="P9" s="82" t="str">
        <f>IF(K9="","",K9-$K$4)</f>
        <v/>
      </c>
      <c r="R9" s="151"/>
      <c r="S9" s="82" t="str">
        <f>IF($C$10=0,"",N9)</f>
        <v/>
      </c>
      <c r="T9" s="82" t="str">
        <f t="shared" si="0"/>
        <v xml:space="preserve"> </v>
      </c>
      <c r="U9" s="82" t="str">
        <f t="shared" si="0"/>
        <v xml:space="preserve"> </v>
      </c>
    </row>
    <row r="10" spans="2:21" ht="16.2">
      <c r="B10" s="155" t="s">
        <v>5</v>
      </c>
      <c r="C10"/>
      <c r="D10"/>
      <c r="E10"/>
      <c r="F10" s="14"/>
      <c r="H10" s="150" t="s">
        <v>166</v>
      </c>
      <c r="I10" s="78">
        <f>0+E11/2+E23</f>
        <v>0</v>
      </c>
      <c r="J10" s="78">
        <f>0-C11/2</f>
        <v>0</v>
      </c>
      <c r="K10" s="78">
        <f>J10+C11</f>
        <v>0</v>
      </c>
      <c r="M10" s="151" t="s">
        <v>171</v>
      </c>
      <c r="N10" s="83">
        <f>ABS(I10-$I$4)</f>
        <v>0</v>
      </c>
      <c r="O10" s="83">
        <f>J10-$K$4+$E$21</f>
        <v>0</v>
      </c>
      <c r="P10" s="83">
        <f>K10-$K$4+$E$21</f>
        <v>0</v>
      </c>
      <c r="R10" s="151" t="s">
        <v>174</v>
      </c>
      <c r="S10" s="83" t="str">
        <f>IF($C$11=0,"",N10)</f>
        <v/>
      </c>
      <c r="T10" s="83" t="str">
        <f t="shared" ref="T10:U10" si="2">IF($C$11=0," ",O10)</f>
        <v xml:space="preserve"> </v>
      </c>
      <c r="U10" s="83" t="str">
        <f t="shared" si="2"/>
        <v xml:space="preserve"> </v>
      </c>
    </row>
    <row r="11" spans="2:21" ht="16.2">
      <c r="B11" s="155"/>
      <c r="C11"/>
      <c r="D11"/>
      <c r="E11"/>
      <c r="F11" s="14"/>
      <c r="H11" s="147"/>
      <c r="I11" s="78">
        <f>I10-E11</f>
        <v>0</v>
      </c>
      <c r="J11" s="78">
        <f>IF(D11=E11,K11-C12,IF(I11&gt;I12,J10,"NA"))</f>
        <v>0</v>
      </c>
      <c r="K11" s="78">
        <f>IF(D11=E11,K10,IF(I11&gt;I12,"NA",K10))</f>
        <v>0</v>
      </c>
      <c r="M11" s="151"/>
      <c r="N11" s="83">
        <f>ABS(I11-$I$4)</f>
        <v>0</v>
      </c>
      <c r="O11" s="83">
        <f>IF(J11="NA","NA",J11-$K$4+$E$21)</f>
        <v>0</v>
      </c>
      <c r="P11" s="83">
        <f>IF(K11="NA","NA",K11-$K$4+E21)</f>
        <v>0</v>
      </c>
      <c r="R11" s="151"/>
      <c r="S11" s="83" t="str">
        <f>IF($C$11=0,"",N11)</f>
        <v/>
      </c>
      <c r="T11" s="83" t="str">
        <f t="shared" ref="T11:T12" si="3">IF($C$11=0," ",O11)</f>
        <v xml:space="preserve"> </v>
      </c>
      <c r="U11" s="83" t="str">
        <f t="shared" ref="U11:U12" si="4">IF($C$11=0," ",P11)</f>
        <v xml:space="preserve"> </v>
      </c>
    </row>
    <row r="12" spans="2:21" ht="15.75" customHeight="1">
      <c r="B12" s="155"/>
      <c r="C12"/>
      <c r="D12"/>
      <c r="E12"/>
      <c r="F12" s="14"/>
      <c r="H12" s="148"/>
      <c r="I12" s="78" t="str">
        <f>IF(D11=E11,"",I10-D11)</f>
        <v/>
      </c>
      <c r="J12" s="78" t="str">
        <f>IF(D11=E11,"",IF(I12&gt;I11,J10,"NA"))</f>
        <v/>
      </c>
      <c r="K12" s="78" t="str">
        <f>IF(D11=E11,"",IF(I12&gt;I11,"NA",K10))</f>
        <v/>
      </c>
      <c r="M12" s="151"/>
      <c r="N12" s="83" t="str">
        <f>IF(D11=E11,"",ABS(I12-$I$4)-E23)</f>
        <v/>
      </c>
      <c r="O12" s="83" t="str">
        <f>IF(I12="","",IF(J12="NA","NA",J12-$K$4))</f>
        <v/>
      </c>
      <c r="P12" s="83" t="str">
        <f>IF(I12="","",IF(K12="NA","NA",K12-$K$4))</f>
        <v/>
      </c>
      <c r="R12" s="151"/>
      <c r="S12" s="83" t="str">
        <f>IF($C$11=0,"",N12)</f>
        <v/>
      </c>
      <c r="T12" s="83" t="str">
        <f t="shared" si="3"/>
        <v xml:space="preserve"> </v>
      </c>
      <c r="U12" s="83" t="str">
        <f t="shared" si="4"/>
        <v xml:space="preserve"> </v>
      </c>
    </row>
    <row r="13" spans="2:21" ht="16.2">
      <c r="B13" s="102" t="s">
        <v>254</v>
      </c>
      <c r="C13"/>
      <c r="D13"/>
      <c r="E13"/>
      <c r="F13" s="14"/>
      <c r="H13" s="150" t="s">
        <v>9</v>
      </c>
      <c r="I13" s="77">
        <f>0+E5/2</f>
        <v>0</v>
      </c>
      <c r="J13" s="77">
        <f>0-C5/2</f>
        <v>0</v>
      </c>
      <c r="K13" s="77">
        <f>J13+C5</f>
        <v>0</v>
      </c>
      <c r="M13" s="151" t="s">
        <v>9</v>
      </c>
      <c r="N13" s="82">
        <f t="shared" si="1"/>
        <v>0</v>
      </c>
      <c r="O13" s="82">
        <f>J13-$K$4</f>
        <v>0</v>
      </c>
      <c r="P13" s="82">
        <f>K13-$K$4</f>
        <v>0</v>
      </c>
      <c r="R13" s="151" t="s">
        <v>9</v>
      </c>
      <c r="S13" s="82" t="str">
        <f>IF($C$5=0,"",N13)</f>
        <v/>
      </c>
      <c r="T13" s="82" t="str">
        <f t="shared" ref="T13:U13" si="5">IF($C$5=0," ",O13)</f>
        <v xml:space="preserve"> </v>
      </c>
      <c r="U13" s="82" t="str">
        <f t="shared" si="5"/>
        <v xml:space="preserve"> </v>
      </c>
    </row>
    <row r="14" spans="2:21">
      <c r="B14" s="3"/>
      <c r="C14" s="3"/>
      <c r="D14" s="3"/>
      <c r="E14" s="3"/>
      <c r="F14" s="14"/>
      <c r="H14" s="147"/>
      <c r="I14" s="77">
        <f>I13-E5</f>
        <v>0</v>
      </c>
      <c r="J14" s="77" t="str">
        <f>IF($E$10&gt;$D$10,J13,"NA")</f>
        <v>NA</v>
      </c>
      <c r="K14" s="77">
        <f>IF($E$10&gt;$D$10,"NA",K13)</f>
        <v>0</v>
      </c>
      <c r="M14" s="151"/>
      <c r="N14" s="82">
        <f t="shared" si="1"/>
        <v>0</v>
      </c>
      <c r="O14" s="82" t="str">
        <f>IF(J14="NA","NA",J14-$K$4)</f>
        <v>NA</v>
      </c>
      <c r="P14" s="82">
        <f>IF(K14="NA","NA",K14-$K$4)</f>
        <v>0</v>
      </c>
      <c r="R14" s="151"/>
      <c r="S14" s="82" t="str">
        <f>IF($C$5=0,"",N14)</f>
        <v/>
      </c>
      <c r="T14" s="82" t="str">
        <f t="shared" ref="T14:T15" si="6">IF($C$5=0," ",O14)</f>
        <v xml:space="preserve"> </v>
      </c>
      <c r="U14" s="82" t="str">
        <f t="shared" ref="U14:U15" si="7">IF($C$5=0," ",P14)</f>
        <v xml:space="preserve"> </v>
      </c>
    </row>
    <row r="15" spans="2:21">
      <c r="B15" s="58"/>
      <c r="C15" s="58" t="s">
        <v>0</v>
      </c>
      <c r="D15" s="58" t="s">
        <v>2</v>
      </c>
      <c r="E15" s="58" t="s">
        <v>1</v>
      </c>
      <c r="F15" s="14"/>
      <c r="H15" s="148"/>
      <c r="I15" s="77">
        <f>I13-D5</f>
        <v>0</v>
      </c>
      <c r="J15" s="77" t="str">
        <f>IF($D$10&gt;$E$10,J13,"NA")</f>
        <v>NA</v>
      </c>
      <c r="K15" s="77">
        <f>IF(I15&gt;I14,"NA",K13)</f>
        <v>0</v>
      </c>
      <c r="M15" s="151"/>
      <c r="N15" s="82">
        <f t="shared" si="1"/>
        <v>0</v>
      </c>
      <c r="O15" s="82" t="str">
        <f>IF(J15="NA","NA",J15-$K$4)</f>
        <v>NA</v>
      </c>
      <c r="P15" s="82">
        <f>IF(K15="NA","NA",K15-$K$4)</f>
        <v>0</v>
      </c>
      <c r="R15" s="151"/>
      <c r="S15" s="82" t="str">
        <f>IF($C$5=0,"",N15)</f>
        <v/>
      </c>
      <c r="T15" s="82" t="str">
        <f t="shared" si="6"/>
        <v xml:space="preserve"> </v>
      </c>
      <c r="U15" s="82" t="str">
        <f t="shared" si="7"/>
        <v xml:space="preserve"> </v>
      </c>
    </row>
    <row r="16" spans="2:21" ht="16.5" customHeight="1">
      <c r="B16" s="153" t="s">
        <v>38</v>
      </c>
      <c r="C16"/>
      <c r="D16"/>
      <c r="E16"/>
      <c r="F16" s="14"/>
      <c r="H16" s="150" t="s">
        <v>167</v>
      </c>
      <c r="I16" s="79">
        <f>0+E16/2+E23</f>
        <v>0</v>
      </c>
      <c r="J16" s="79">
        <f>K16-C16</f>
        <v>0</v>
      </c>
      <c r="K16" s="79">
        <f>0+C16/2+E21</f>
        <v>0</v>
      </c>
      <c r="M16" s="151" t="s">
        <v>172</v>
      </c>
      <c r="N16" s="83">
        <f>ABS(I16-$I$4)</f>
        <v>0</v>
      </c>
      <c r="O16" s="83">
        <f>J16-$K$4</f>
        <v>0</v>
      </c>
      <c r="P16" s="83">
        <f>K16-$K$4</f>
        <v>0</v>
      </c>
      <c r="R16" s="151" t="s">
        <v>167</v>
      </c>
      <c r="S16" s="83" t="str">
        <f>IF($C$16=0,"",N16)</f>
        <v/>
      </c>
      <c r="T16" s="83" t="str">
        <f>IF($C$16=0," ",O16)</f>
        <v xml:space="preserve"> </v>
      </c>
      <c r="U16" s="83" t="str">
        <f>IF($C$16=0," ",P16)</f>
        <v xml:space="preserve"> </v>
      </c>
    </row>
    <row r="17" spans="1:27" ht="15.75" customHeight="1">
      <c r="B17" s="153"/>
      <c r="C17"/>
      <c r="D17"/>
      <c r="E17"/>
      <c r="F17" s="14"/>
      <c r="H17" s="147"/>
      <c r="I17" s="79">
        <f>I16-D17</f>
        <v>0</v>
      </c>
      <c r="J17" s="79">
        <f>K17-C17</f>
        <v>0</v>
      </c>
      <c r="K17" s="79">
        <f>K16-(C16-C17)/2</f>
        <v>0</v>
      </c>
      <c r="M17" s="151"/>
      <c r="N17" s="83">
        <f>ABS(I17-$I$4)</f>
        <v>0</v>
      </c>
      <c r="O17" s="83">
        <f>IF(J17="NA","NA",J17-$K$4)</f>
        <v>0</v>
      </c>
      <c r="P17" s="83">
        <f>IF(K17="NA","NA",K17-$K$4)</f>
        <v>0</v>
      </c>
      <c r="R17" s="151"/>
      <c r="S17" s="83" t="str">
        <f>IF($C$17=0,"",N17)</f>
        <v/>
      </c>
      <c r="T17" s="83" t="str">
        <f>IF($C$17=0,"",O17)</f>
        <v/>
      </c>
      <c r="U17" s="83" t="str">
        <f>IF($C$17=0,"",P17)</f>
        <v/>
      </c>
    </row>
    <row r="18" spans="1:27" ht="15.75" customHeight="1">
      <c r="B18" s="154"/>
      <c r="C18"/>
      <c r="D18"/>
      <c r="E18"/>
      <c r="F18" s="14"/>
      <c r="H18" s="147"/>
      <c r="I18" s="80">
        <f>I16-E16</f>
        <v>0</v>
      </c>
      <c r="J18" s="80">
        <f>K18-C18</f>
        <v>0</v>
      </c>
      <c r="K18" s="80">
        <f>K17</f>
        <v>0</v>
      </c>
      <c r="M18" s="151"/>
      <c r="N18" s="83">
        <f>ABS(I18-$I$4)</f>
        <v>0</v>
      </c>
      <c r="O18" s="83">
        <f>IF(J18="NA","NA",J18-$K$4)</f>
        <v>0</v>
      </c>
      <c r="P18" s="83">
        <f>IF(K18="NA","NA",K18-$K$4)</f>
        <v>0</v>
      </c>
      <c r="R18" s="151"/>
      <c r="S18" s="83" t="str">
        <f>IF($C$18=0,"",N18)</f>
        <v/>
      </c>
      <c r="T18" s="83" t="str">
        <f>IF($C$18=0,"",O18)</f>
        <v/>
      </c>
      <c r="U18" s="83" t="str">
        <f>IF($C$18=0,"",P18)</f>
        <v/>
      </c>
    </row>
    <row r="19" spans="1:27">
      <c r="H19" s="150" t="s">
        <v>168</v>
      </c>
      <c r="I19" s="81">
        <f>I7-D13</f>
        <v>0</v>
      </c>
      <c r="J19" s="81">
        <f>0-C13/2</f>
        <v>0</v>
      </c>
      <c r="K19" s="81">
        <f>0+C13/2</f>
        <v>0</v>
      </c>
      <c r="M19" s="151" t="s">
        <v>173</v>
      </c>
      <c r="N19" s="81">
        <f>ABS(I19-$I$4)</f>
        <v>0</v>
      </c>
      <c r="O19" s="81">
        <f>J19-$K$4</f>
        <v>0</v>
      </c>
      <c r="P19" s="81">
        <f>K19-$K$4</f>
        <v>0</v>
      </c>
      <c r="R19" s="150" t="s">
        <v>168</v>
      </c>
      <c r="S19" s="81" t="str">
        <f>IF(C13=0,"",N19)</f>
        <v/>
      </c>
      <c r="T19" s="81" t="str">
        <f t="shared" ref="T19:U19" si="8">IF(D13=0,"",O19)</f>
        <v/>
      </c>
      <c r="U19" s="81" t="str">
        <f t="shared" si="8"/>
        <v/>
      </c>
    </row>
    <row r="20" spans="1:27">
      <c r="B20" s="28"/>
      <c r="C20" s="14" t="s">
        <v>125</v>
      </c>
      <c r="D20" s="14" t="s">
        <v>126</v>
      </c>
      <c r="E20" s="14" t="s">
        <v>256</v>
      </c>
      <c r="H20" s="147"/>
      <c r="I20" s="81"/>
      <c r="J20" s="81"/>
      <c r="K20" s="81"/>
      <c r="M20" s="151"/>
      <c r="N20" s="81"/>
      <c r="O20" s="81"/>
      <c r="P20" s="81"/>
      <c r="R20" s="147"/>
      <c r="S20" s="81"/>
      <c r="T20" s="81"/>
      <c r="U20" s="81"/>
      <c r="AA20" s="33"/>
    </row>
    <row r="21" spans="1:27" ht="15" customHeight="1">
      <c r="C21" s="76"/>
      <c r="D21" s="76"/>
      <c r="E21" s="76">
        <f>IF(A64=0,0,IF(C11="",(C10-C16)/2-C21,(C10-C11)/2-C21))</f>
        <v>0</v>
      </c>
      <c r="H21" s="147"/>
      <c r="I21" s="81"/>
      <c r="J21" s="81"/>
      <c r="K21" s="81"/>
      <c r="M21" s="151"/>
      <c r="N21" s="81"/>
      <c r="O21" s="81"/>
      <c r="P21" s="81"/>
      <c r="R21" s="147"/>
      <c r="S21" s="81"/>
      <c r="T21" s="81"/>
      <c r="U21" s="81"/>
      <c r="AA21" s="33"/>
    </row>
    <row r="22" spans="1:27">
      <c r="E22" s="14" t="s">
        <v>128</v>
      </c>
      <c r="H22" s="148"/>
      <c r="I22" s="81"/>
      <c r="J22" s="81"/>
      <c r="K22" s="81"/>
      <c r="M22" s="151"/>
      <c r="N22" s="81"/>
      <c r="O22" s="81"/>
      <c r="P22" s="81"/>
      <c r="R22" s="148"/>
      <c r="S22" s="81"/>
      <c r="T22" s="81"/>
      <c r="U22" s="81"/>
    </row>
    <row r="23" spans="1:27" ht="16.8" thickBot="1">
      <c r="B23" s="16"/>
      <c r="E23" s="76">
        <f>IF(A64=0,0,IF(C11="",(E10-E16)/2-D21,(E10-E11)/2-D21))</f>
        <v>0</v>
      </c>
    </row>
    <row r="24" spans="1:27" ht="16.2">
      <c r="A24" s="84"/>
      <c r="B24" s="85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7"/>
    </row>
    <row r="25" spans="1:27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88"/>
      <c r="S25" s="14" t="s">
        <v>134</v>
      </c>
      <c r="T25" s="14" t="s">
        <v>136</v>
      </c>
      <c r="U25" s="2" t="s">
        <v>135</v>
      </c>
    </row>
    <row r="26" spans="1:27" ht="21.6">
      <c r="A26" s="44"/>
      <c r="B26" s="45"/>
      <c r="C26" s="45"/>
      <c r="D26" s="45"/>
      <c r="E26" s="45"/>
      <c r="F26" s="45"/>
      <c r="G26" s="45"/>
      <c r="H26" s="64" t="s">
        <v>176</v>
      </c>
      <c r="I26" s="15" t="s">
        <v>6</v>
      </c>
      <c r="J26" s="15" t="s">
        <v>8</v>
      </c>
      <c r="K26" s="15" t="s">
        <v>7</v>
      </c>
      <c r="L26" s="45"/>
      <c r="M26" s="45"/>
      <c r="N26" s="45"/>
      <c r="O26" s="45"/>
      <c r="P26" s="45"/>
      <c r="Q26" s="88"/>
      <c r="S26" s="74">
        <f>MAX(I27:I42)</f>
        <v>553</v>
      </c>
      <c r="T26" s="75">
        <f>MAX(S27:S38)</f>
        <v>440</v>
      </c>
      <c r="U26" s="75">
        <f>MIN(S27:S38)</f>
        <v>440</v>
      </c>
    </row>
    <row r="27" spans="1:27" ht="20.100000000000001" customHeight="1">
      <c r="A27" s="40"/>
      <c r="B27" s="45"/>
      <c r="C27" s="45"/>
      <c r="D27" s="45"/>
      <c r="E27" s="45"/>
      <c r="F27" s="45"/>
      <c r="G27" s="45"/>
      <c r="H27" s="70">
        <f>IF(I27="","-",1)</f>
        <v>1</v>
      </c>
      <c r="I27" s="56">
        <v>0</v>
      </c>
      <c r="J27" s="56">
        <v>0</v>
      </c>
      <c r="K27" s="56">
        <v>440</v>
      </c>
      <c r="L27" s="45"/>
      <c r="M27" s="45"/>
      <c r="N27" s="45"/>
      <c r="O27" s="89"/>
      <c r="P27" s="89"/>
      <c r="Q27" s="90"/>
      <c r="S27" s="33">
        <f>IFERROR(IF(K27-J27=0,"",K27-J27),"")</f>
        <v>440</v>
      </c>
      <c r="T27" s="1"/>
      <c r="U27" s="1"/>
    </row>
    <row r="28" spans="1:27" ht="20.100000000000001" customHeight="1">
      <c r="A28" s="91" t="s">
        <v>19</v>
      </c>
      <c r="B28" s="45"/>
      <c r="C28" s="45"/>
      <c r="D28" s="45"/>
      <c r="E28" s="45"/>
      <c r="F28" s="45"/>
      <c r="G28" s="45"/>
      <c r="H28" s="70">
        <f>IF(I28="","-",2)</f>
        <v>2</v>
      </c>
      <c r="I28" s="56">
        <v>550</v>
      </c>
      <c r="J28" s="56">
        <v>0</v>
      </c>
      <c r="K28" s="56" t="s">
        <v>274</v>
      </c>
      <c r="L28" s="45"/>
      <c r="M28" s="45"/>
      <c r="N28" s="45"/>
      <c r="O28" s="89"/>
      <c r="P28" s="89"/>
      <c r="Q28" s="90"/>
      <c r="S28" s="33" t="str">
        <f t="shared" ref="S28:S42" si="9">IFERROR(IF(K28-J28=0,"",K28-J28),"")</f>
        <v/>
      </c>
      <c r="T28" s="1"/>
      <c r="U28" s="1"/>
    </row>
    <row r="29" spans="1:27" ht="20.100000000000001" customHeight="1">
      <c r="A29" s="91" t="s">
        <v>16</v>
      </c>
      <c r="B29" s="45"/>
      <c r="C29" s="45"/>
      <c r="D29" s="45"/>
      <c r="E29" s="45"/>
      <c r="F29" s="45"/>
      <c r="G29" s="45"/>
      <c r="H29" s="70">
        <f>IF(I29="","-",3)</f>
        <v>3</v>
      </c>
      <c r="I29" s="56">
        <v>553</v>
      </c>
      <c r="J29" s="56" t="s">
        <v>274</v>
      </c>
      <c r="K29" s="56">
        <v>440</v>
      </c>
      <c r="L29" s="45"/>
      <c r="M29" s="45"/>
      <c r="N29" s="45"/>
      <c r="O29" s="89"/>
      <c r="P29" s="89"/>
      <c r="Q29" s="90"/>
      <c r="S29" s="33" t="str">
        <f t="shared" si="9"/>
        <v/>
      </c>
      <c r="T29" s="1"/>
      <c r="U29" s="1"/>
      <c r="W29" s="13" t="s">
        <v>156</v>
      </c>
      <c r="X29" s="13" t="s">
        <v>157</v>
      </c>
      <c r="Y29" s="13" t="s">
        <v>158</v>
      </c>
      <c r="Z29" s="1" t="s">
        <v>159</v>
      </c>
    </row>
    <row r="30" spans="1:27" ht="20.100000000000001" customHeight="1">
      <c r="A30" s="40"/>
      <c r="B30" s="45"/>
      <c r="C30" s="45"/>
      <c r="D30" s="45"/>
      <c r="E30" s="45"/>
      <c r="F30" s="45"/>
      <c r="G30" s="45"/>
      <c r="H30" s="70" t="str">
        <f>IF(I30=""," -",4)</f>
        <v xml:space="preserve"> -</v>
      </c>
      <c r="I30" s="56"/>
      <c r="J30" s="56" t="s">
        <v>17</v>
      </c>
      <c r="K30" s="56" t="s">
        <v>17</v>
      </c>
      <c r="L30" s="45"/>
      <c r="M30" s="45"/>
      <c r="N30" s="45"/>
      <c r="O30" s="89"/>
      <c r="P30" s="89"/>
      <c r="Q30" s="90"/>
      <c r="S30" s="33" t="str">
        <f>IFERROR(IF(K30-J30=0,"",K30-J30),"")</f>
        <v/>
      </c>
      <c r="T30" s="1"/>
      <c r="U30" s="1"/>
      <c r="W30" s="13" t="s">
        <v>156</v>
      </c>
      <c r="X30" s="13" t="s">
        <v>157</v>
      </c>
      <c r="Y30" s="13" t="s">
        <v>179</v>
      </c>
      <c r="Z30" s="1" t="s">
        <v>160</v>
      </c>
    </row>
    <row r="31" spans="1:27" ht="20.100000000000001" customHeight="1">
      <c r="A31" s="40"/>
      <c r="B31" s="45"/>
      <c r="C31" s="45"/>
      <c r="D31" s="45"/>
      <c r="E31" s="45"/>
      <c r="F31" s="45"/>
      <c r="G31" s="45"/>
      <c r="H31" s="70" t="str">
        <f>IF(I31="","-",5)</f>
        <v>-</v>
      </c>
      <c r="I31" s="56"/>
      <c r="J31" s="56" t="s">
        <v>17</v>
      </c>
      <c r="K31" s="56" t="s">
        <v>17</v>
      </c>
      <c r="L31" s="45"/>
      <c r="M31" s="45"/>
      <c r="N31" s="45"/>
      <c r="O31" s="89"/>
      <c r="P31" s="89"/>
      <c r="Q31" s="90"/>
      <c r="S31" s="33" t="str">
        <f t="shared" si="9"/>
        <v/>
      </c>
      <c r="T31" s="1"/>
      <c r="U31" s="1"/>
    </row>
    <row r="32" spans="1:27" ht="20.100000000000001" customHeight="1">
      <c r="A32" s="44"/>
      <c r="B32" s="45"/>
      <c r="C32" s="45"/>
      <c r="D32" s="45"/>
      <c r="E32" s="45"/>
      <c r="F32" s="45"/>
      <c r="G32" s="45"/>
      <c r="H32" s="70" t="str">
        <f>IF(I32="","-",6)</f>
        <v>-</v>
      </c>
      <c r="I32" s="56"/>
      <c r="J32" s="56" t="s">
        <v>17</v>
      </c>
      <c r="K32" s="56" t="s">
        <v>17</v>
      </c>
      <c r="L32" s="45"/>
      <c r="M32" s="45"/>
      <c r="N32" s="45"/>
      <c r="O32" s="89"/>
      <c r="P32" s="89"/>
      <c r="Q32" s="90"/>
      <c r="S32" s="33" t="str">
        <f t="shared" si="9"/>
        <v/>
      </c>
      <c r="T32" s="1"/>
      <c r="U32" s="1"/>
    </row>
    <row r="33" spans="1:21" ht="20.100000000000001" customHeight="1" thickBot="1">
      <c r="A33" s="44"/>
      <c r="B33" s="45"/>
      <c r="C33" s="45"/>
      <c r="D33" s="45"/>
      <c r="E33" s="45"/>
      <c r="F33" s="45"/>
      <c r="G33" s="45"/>
      <c r="H33" s="70" t="str">
        <f>IF(I33="","-",7)</f>
        <v>-</v>
      </c>
      <c r="I33" s="56"/>
      <c r="J33" s="56" t="s">
        <v>17</v>
      </c>
      <c r="K33" s="56" t="s">
        <v>17</v>
      </c>
      <c r="L33" s="45"/>
      <c r="M33" s="92"/>
      <c r="N33" s="45"/>
      <c r="O33" s="89"/>
      <c r="P33" s="89"/>
      <c r="Q33" s="90"/>
      <c r="S33" s="33" t="str">
        <f t="shared" si="9"/>
        <v/>
      </c>
      <c r="T33" s="1"/>
      <c r="U33" s="1"/>
    </row>
    <row r="34" spans="1:21" ht="20.100000000000001" customHeight="1">
      <c r="A34" s="44"/>
      <c r="B34" s="45"/>
      <c r="C34" s="45"/>
      <c r="D34" s="45"/>
      <c r="E34" s="45"/>
      <c r="F34" s="45"/>
      <c r="G34" s="45"/>
      <c r="H34" s="70" t="str">
        <f>IF(I34=""," -",8)</f>
        <v xml:space="preserve"> -</v>
      </c>
      <c r="I34" s="56"/>
      <c r="J34" s="56" t="s">
        <v>17</v>
      </c>
      <c r="K34" s="56" t="s">
        <v>17</v>
      </c>
      <c r="L34" s="45"/>
      <c r="M34" s="55" t="s">
        <v>153</v>
      </c>
      <c r="N34" s="143" t="s">
        <v>180</v>
      </c>
      <c r="O34" s="144"/>
      <c r="P34" s="145"/>
      <c r="Q34" s="93"/>
      <c r="S34" s="33" t="str">
        <f t="shared" si="9"/>
        <v/>
      </c>
      <c r="T34" s="1"/>
      <c r="U34" s="1"/>
    </row>
    <row r="35" spans="1:21" ht="20.100000000000001" customHeight="1">
      <c r="A35" s="44"/>
      <c r="B35" s="45"/>
      <c r="C35" s="45"/>
      <c r="D35" s="45"/>
      <c r="E35" s="45"/>
      <c r="F35" s="45"/>
      <c r="G35" s="45"/>
      <c r="H35" s="70" t="str">
        <f>IF(I35="","-",9)</f>
        <v>-</v>
      </c>
      <c r="I35" s="56"/>
      <c r="J35" s="56" t="s">
        <v>17</v>
      </c>
      <c r="K35" s="56" t="s">
        <v>17</v>
      </c>
      <c r="L35" s="45"/>
      <c r="M35" s="30" t="s">
        <v>131</v>
      </c>
      <c r="N35" s="136" t="str">
        <f>IFERROR(IF($S$26&gt;610,"NG",IF($U$26&lt;360,"NG",IF($T$26&gt;765,"NG","PASS"))),"未輸入所需靶距")</f>
        <v>PASS</v>
      </c>
      <c r="O35" s="137"/>
      <c r="P35" s="138"/>
      <c r="Q35" s="90"/>
      <c r="S35" s="33" t="str">
        <f t="shared" si="9"/>
        <v/>
      </c>
      <c r="T35" s="1"/>
      <c r="U35" s="1"/>
    </row>
    <row r="36" spans="1:21" ht="20.100000000000001" customHeight="1">
      <c r="A36" s="44"/>
      <c r="B36" s="45"/>
      <c r="C36" s="45"/>
      <c r="D36" s="45"/>
      <c r="E36" s="45"/>
      <c r="F36" s="45"/>
      <c r="G36" s="45"/>
      <c r="H36" s="70" t="str">
        <f>IF(I36="","-",10)</f>
        <v>-</v>
      </c>
      <c r="I36" s="56"/>
      <c r="J36" s="56" t="s">
        <v>17</v>
      </c>
      <c r="K36" s="56" t="s">
        <v>17</v>
      </c>
      <c r="L36" s="45"/>
      <c r="M36" s="30" t="s">
        <v>130</v>
      </c>
      <c r="N36" s="136" t="str">
        <f>IFERROR(IF($S$26&gt;820,"NG",IF($U$26&lt;418,"NG",IF($T$26&gt;820,"NG","PASS"))),"未輸入所需靶距")</f>
        <v>PASS</v>
      </c>
      <c r="O36" s="137"/>
      <c r="P36" s="138"/>
      <c r="Q36" s="90"/>
      <c r="S36" s="33" t="str">
        <f t="shared" si="9"/>
        <v/>
      </c>
      <c r="T36" s="1"/>
      <c r="U36" s="1"/>
    </row>
    <row r="37" spans="1:21" ht="20.100000000000001" customHeight="1" thickBot="1">
      <c r="A37" s="44"/>
      <c r="B37" s="45"/>
      <c r="C37" s="45"/>
      <c r="D37" s="45"/>
      <c r="E37" s="45"/>
      <c r="F37" s="45"/>
      <c r="G37" s="45"/>
      <c r="H37" s="70" t="str">
        <f>IF(I37="","-",11)</f>
        <v>-</v>
      </c>
      <c r="I37" s="56"/>
      <c r="J37" s="56"/>
      <c r="K37" s="56"/>
      <c r="L37" s="45"/>
      <c r="M37" s="31" t="s">
        <v>132</v>
      </c>
      <c r="N37" s="136" t="str">
        <f>IFERROR(IF($S$26&gt;765,"NG",IF($U$26&lt;280,"NG",IF($T$26&gt;760,"NG","PASS"))),"未輸入所需靶距")</f>
        <v>PASS</v>
      </c>
      <c r="O37" s="137"/>
      <c r="P37" s="138"/>
      <c r="Q37" s="90"/>
      <c r="S37" s="33" t="str">
        <f t="shared" si="9"/>
        <v/>
      </c>
      <c r="T37" s="1"/>
      <c r="U37" s="1"/>
    </row>
    <row r="38" spans="1:21" ht="20.100000000000001" customHeight="1">
      <c r="A38" s="44"/>
      <c r="B38" s="45"/>
      <c r="C38" s="45"/>
      <c r="D38" s="45"/>
      <c r="E38" s="45"/>
      <c r="F38" s="45"/>
      <c r="G38" s="45"/>
      <c r="H38" s="70" t="str">
        <f>IF(I38=""," -",12)</f>
        <v xml:space="preserve"> -</v>
      </c>
      <c r="I38" s="56"/>
      <c r="J38" s="56"/>
      <c r="K38" s="56"/>
      <c r="L38" s="45"/>
      <c r="M38" s="45"/>
      <c r="N38" s="45"/>
      <c r="O38" s="89"/>
      <c r="P38" s="89"/>
      <c r="Q38" s="90"/>
      <c r="S38" s="33" t="str">
        <f t="shared" si="9"/>
        <v/>
      </c>
      <c r="T38" s="1"/>
      <c r="U38" s="1"/>
    </row>
    <row r="39" spans="1:21" ht="20.100000000000001" customHeight="1">
      <c r="A39" s="44"/>
      <c r="B39" s="45"/>
      <c r="C39" s="45"/>
      <c r="D39" s="45"/>
      <c r="E39" s="45"/>
      <c r="F39" s="45"/>
      <c r="G39" s="45"/>
      <c r="H39" s="70" t="str">
        <f>IF(I39="","-",13)</f>
        <v>-</v>
      </c>
      <c r="I39" s="56"/>
      <c r="J39" s="56"/>
      <c r="K39" s="56"/>
      <c r="L39" s="45"/>
      <c r="M39" s="45"/>
      <c r="N39" s="45"/>
      <c r="O39" s="89"/>
      <c r="P39" s="89"/>
      <c r="Q39" s="90"/>
      <c r="S39" s="33" t="str">
        <f t="shared" si="9"/>
        <v/>
      </c>
      <c r="T39" s="1"/>
      <c r="U39" s="1"/>
    </row>
    <row r="40" spans="1:21" ht="20.100000000000001" customHeight="1">
      <c r="A40" s="44"/>
      <c r="B40" s="45"/>
      <c r="C40" s="45"/>
      <c r="D40" s="45"/>
      <c r="E40" s="45"/>
      <c r="F40" s="45"/>
      <c r="G40" s="45"/>
      <c r="H40" s="70" t="str">
        <f>IF(I40="","-",14)</f>
        <v>-</v>
      </c>
      <c r="I40" s="56"/>
      <c r="J40" s="56"/>
      <c r="K40" s="56"/>
      <c r="L40" s="45"/>
      <c r="M40" s="45"/>
      <c r="N40" s="45"/>
      <c r="O40" s="45"/>
      <c r="P40" s="45"/>
      <c r="Q40" s="88"/>
      <c r="S40" s="33" t="str">
        <f t="shared" si="9"/>
        <v/>
      </c>
    </row>
    <row r="41" spans="1:21" ht="20.100000000000001" customHeight="1">
      <c r="A41" s="44"/>
      <c r="B41" s="45"/>
      <c r="C41" s="45"/>
      <c r="D41" s="45"/>
      <c r="E41" s="45"/>
      <c r="F41" s="45"/>
      <c r="G41" s="45"/>
      <c r="H41" s="70" t="str">
        <f>IF(I41="","-",15)</f>
        <v>-</v>
      </c>
      <c r="I41" s="56"/>
      <c r="J41" s="56"/>
      <c r="K41" s="56"/>
      <c r="L41" s="45"/>
      <c r="M41" s="45"/>
      <c r="N41" s="45"/>
      <c r="O41" s="45"/>
      <c r="P41" s="45"/>
      <c r="Q41" s="88"/>
      <c r="S41" s="33" t="str">
        <f t="shared" si="9"/>
        <v/>
      </c>
    </row>
    <row r="42" spans="1:21" ht="20.100000000000001" customHeight="1">
      <c r="A42" s="44"/>
      <c r="B42" s="45"/>
      <c r="C42" s="45"/>
      <c r="D42" s="45"/>
      <c r="E42" s="45"/>
      <c r="F42" s="45"/>
      <c r="G42" s="45"/>
      <c r="H42" s="70" t="str">
        <f>IF(I42=""," -",16)</f>
        <v xml:space="preserve"> -</v>
      </c>
      <c r="I42" s="56"/>
      <c r="J42" s="56"/>
      <c r="K42" s="56"/>
      <c r="L42" s="45"/>
      <c r="M42" s="45"/>
      <c r="N42" s="45"/>
      <c r="O42" s="45"/>
      <c r="P42" s="45"/>
      <c r="Q42" s="88"/>
      <c r="S42" s="33" t="str">
        <f t="shared" si="9"/>
        <v/>
      </c>
    </row>
    <row r="43" spans="1:21" hidden="1">
      <c r="A43" s="44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88"/>
    </row>
    <row r="44" spans="1:21" hidden="1">
      <c r="A44" s="44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88"/>
    </row>
    <row r="45" spans="1:21" hidden="1">
      <c r="A45" s="44"/>
      <c r="B45" s="45"/>
      <c r="C45" s="45"/>
      <c r="D45" s="45"/>
      <c r="E45" s="45"/>
      <c r="F45" s="45"/>
      <c r="G45" s="45"/>
      <c r="H45" s="45"/>
      <c r="I45" s="45"/>
      <c r="J45" s="45" t="s">
        <v>154</v>
      </c>
      <c r="K45" s="45"/>
      <c r="L45" s="45"/>
      <c r="M45" s="45"/>
      <c r="N45" s="45"/>
      <c r="O45" s="45"/>
      <c r="P45" s="45"/>
      <c r="Q45" s="88"/>
    </row>
    <row r="46" spans="1:21" hidden="1">
      <c r="A46" s="44"/>
      <c r="B46" s="45"/>
      <c r="C46" s="45"/>
      <c r="D46" s="45"/>
      <c r="E46" s="45"/>
      <c r="F46" s="45"/>
      <c r="G46" s="45"/>
      <c r="H46" s="45"/>
      <c r="I46" s="45"/>
      <c r="J46" s="45" t="s">
        <v>155</v>
      </c>
      <c r="K46" s="45"/>
      <c r="L46" s="45"/>
      <c r="M46" s="45"/>
      <c r="N46" s="45"/>
      <c r="O46" s="45"/>
      <c r="P46" s="45"/>
      <c r="Q46" s="88"/>
    </row>
    <row r="47" spans="1:21" hidden="1">
      <c r="A47" s="44"/>
      <c r="B47" s="45"/>
      <c r="C47" s="45"/>
      <c r="D47" s="45"/>
      <c r="E47" s="45"/>
      <c r="F47" s="45"/>
      <c r="G47" s="45"/>
      <c r="H47" s="45"/>
      <c r="I47" s="45"/>
      <c r="J47" s="45">
        <f>IF(E11="",IF(E16="",0,(E10-E16)/2-D21),(E10-E11)/2-D21)</f>
        <v>0</v>
      </c>
      <c r="K47" s="45"/>
      <c r="L47" s="45"/>
      <c r="M47" s="45"/>
      <c r="N47" s="45"/>
      <c r="O47" s="45"/>
      <c r="P47" s="45"/>
      <c r="Q47" s="88"/>
    </row>
    <row r="48" spans="1:21" ht="16.2" thickBot="1">
      <c r="A48" s="94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6"/>
    </row>
    <row r="64" spans="1:1">
      <c r="A64" s="1">
        <f>IF(C11="",IF(C16="",0,1),1)</f>
        <v>0</v>
      </c>
    </row>
  </sheetData>
  <sortState ref="I27:K42">
    <sortCondition ref="I27:I42"/>
  </sortState>
  <mergeCells count="22">
    <mergeCell ref="M7:M9"/>
    <mergeCell ref="M10:M12"/>
    <mergeCell ref="M13:M15"/>
    <mergeCell ref="B16:B18"/>
    <mergeCell ref="M16:M18"/>
    <mergeCell ref="H16:H18"/>
    <mergeCell ref="H7:H9"/>
    <mergeCell ref="B10:B12"/>
    <mergeCell ref="H19:H22"/>
    <mergeCell ref="M19:M22"/>
    <mergeCell ref="H13:H15"/>
    <mergeCell ref="H10:H12"/>
    <mergeCell ref="R19:R22"/>
    <mergeCell ref="N34:P34"/>
    <mergeCell ref="N35:P35"/>
    <mergeCell ref="N36:P36"/>
    <mergeCell ref="N37:P37"/>
    <mergeCell ref="R4:U4"/>
    <mergeCell ref="R7:R9"/>
    <mergeCell ref="R10:R12"/>
    <mergeCell ref="R13:R15"/>
    <mergeCell ref="R16:R18"/>
  </mergeCells>
  <phoneticPr fontId="1" type="noConversion"/>
  <conditionalFormatting sqref="N35:P37">
    <cfRule type="containsText" dxfId="5" priority="1" operator="containsText" text="NG">
      <formula>NOT(ISERROR(SEARCH("NG",N35)))</formula>
    </cfRule>
    <cfRule type="containsText" dxfId="4" priority="2" operator="containsText" text="PASS">
      <formula>NOT(ISERROR(SEARCH("PASS",N35)))</formula>
    </cfRule>
  </conditionalFormatting>
  <pageMargins left="0.7" right="0.7" top="0.75" bottom="0.75" header="0.3" footer="0.3"/>
  <pageSetup paperSize="9" scale="33" orientation="portrait" r:id="rId1"/>
  <ignoredErrors>
    <ignoredError sqref="O13:P13 N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45"/>
  <sheetViews>
    <sheetView tabSelected="1" view="pageBreakPreview" zoomScaleNormal="100" zoomScaleSheetLayoutView="100" workbookViewId="0">
      <selection activeCell="Q24" sqref="Q24"/>
    </sheetView>
  </sheetViews>
  <sheetFormatPr defaultRowHeight="16.2"/>
  <cols>
    <col min="1" max="1" width="14.109375" bestFit="1" customWidth="1"/>
    <col min="6" max="6" width="18" bestFit="1" customWidth="1"/>
  </cols>
  <sheetData>
    <row r="1" spans="1:9" ht="23.4">
      <c r="A1" s="113" t="s">
        <v>278</v>
      </c>
      <c r="B1" s="113" t="s">
        <v>6</v>
      </c>
      <c r="C1" s="113" t="s">
        <v>8</v>
      </c>
      <c r="D1" s="113" t="s">
        <v>7</v>
      </c>
      <c r="E1" s="110"/>
      <c r="F1" s="55" t="s">
        <v>153</v>
      </c>
      <c r="G1" s="143" t="s">
        <v>180</v>
      </c>
      <c r="H1" s="144"/>
      <c r="I1" s="145"/>
    </row>
    <row r="2" spans="1:9" ht="21">
      <c r="A2" s="70" t="str">
        <f>IF(B2="","-",1)</f>
        <v>-</v>
      </c>
      <c r="B2" s="56"/>
      <c r="C2" s="56"/>
      <c r="D2" s="56"/>
      <c r="E2" s="110"/>
      <c r="F2" s="30" t="s">
        <v>131</v>
      </c>
      <c r="G2" s="136"/>
      <c r="H2" s="137"/>
      <c r="I2" s="138"/>
    </row>
    <row r="3" spans="1:9" ht="21">
      <c r="A3" s="70" t="str">
        <f>IF(B3="","-",2)</f>
        <v>-</v>
      </c>
      <c r="B3" s="56"/>
      <c r="C3" s="56"/>
      <c r="D3" s="56"/>
      <c r="E3" s="110"/>
      <c r="F3" s="30" t="s">
        <v>130</v>
      </c>
      <c r="G3" s="136"/>
      <c r="H3" s="137"/>
      <c r="I3" s="138"/>
    </row>
    <row r="4" spans="1:9" ht="21.6" thickBot="1">
      <c r="A4" s="70" t="str">
        <f>IF(B4="","-",3)</f>
        <v>-</v>
      </c>
      <c r="B4" s="56"/>
      <c r="C4" s="56"/>
      <c r="D4" s="56"/>
      <c r="E4" s="110"/>
      <c r="F4" s="31" t="s">
        <v>132</v>
      </c>
      <c r="G4" s="136"/>
      <c r="H4" s="137"/>
      <c r="I4" s="138"/>
    </row>
    <row r="5" spans="1:9">
      <c r="A5" s="70" t="str">
        <f>IF(B5=""," -",4)</f>
        <v xml:space="preserve"> -</v>
      </c>
      <c r="B5" s="56"/>
      <c r="C5" s="56"/>
      <c r="D5" s="56"/>
      <c r="E5" s="110"/>
      <c r="F5" s="110"/>
      <c r="G5" s="110"/>
      <c r="H5" s="110"/>
      <c r="I5" s="110"/>
    </row>
    <row r="6" spans="1:9" ht="21.6">
      <c r="A6" s="70" t="str">
        <f>IF(B6="","-",5)</f>
        <v>-</v>
      </c>
      <c r="B6" s="56"/>
      <c r="C6" s="56"/>
      <c r="D6" s="56"/>
      <c r="E6" s="110"/>
      <c r="F6" s="64" t="s">
        <v>276</v>
      </c>
      <c r="G6" s="15" t="s">
        <v>6</v>
      </c>
      <c r="H6" s="15" t="s">
        <v>8</v>
      </c>
      <c r="I6" s="15" t="s">
        <v>7</v>
      </c>
    </row>
    <row r="7" spans="1:9">
      <c r="A7" s="70" t="str">
        <f>IF(B7="","-",6)</f>
        <v>-</v>
      </c>
      <c r="B7" s="56"/>
      <c r="C7" s="56"/>
      <c r="D7" s="56"/>
      <c r="E7" s="110"/>
      <c r="F7" s="7" t="str">
        <f>IF(I7="","-",1)</f>
        <v>-</v>
      </c>
      <c r="G7" s="7"/>
      <c r="H7" s="7"/>
      <c r="I7" s="7"/>
    </row>
    <row r="8" spans="1:9">
      <c r="A8" s="70" t="str">
        <f>IF(B8="","-",7)</f>
        <v>-</v>
      </c>
      <c r="B8" s="56"/>
      <c r="C8" s="56"/>
      <c r="D8" s="56"/>
      <c r="E8" s="110"/>
      <c r="F8" s="112"/>
      <c r="G8" s="110"/>
      <c r="H8" s="110"/>
      <c r="I8" s="110"/>
    </row>
    <row r="9" spans="1:9">
      <c r="A9" s="70" t="str">
        <f>IF(B9=""," -",8)</f>
        <v xml:space="preserve"> -</v>
      </c>
      <c r="B9" s="56"/>
      <c r="C9" s="56"/>
      <c r="D9" s="56"/>
      <c r="E9" s="110"/>
      <c r="F9" s="110"/>
      <c r="G9" s="110"/>
      <c r="H9" s="110"/>
      <c r="I9" s="110"/>
    </row>
    <row r="10" spans="1:9">
      <c r="A10" s="70" t="str">
        <f>IF(B10="","-",9)</f>
        <v>-</v>
      </c>
      <c r="B10" s="56"/>
      <c r="C10" s="56"/>
      <c r="D10" s="56"/>
      <c r="E10" s="110"/>
      <c r="F10" s="110"/>
      <c r="G10" s="110"/>
      <c r="H10" s="110"/>
      <c r="I10" s="110"/>
    </row>
    <row r="11" spans="1:9">
      <c r="A11" s="70" t="str">
        <f>IF(B11="","-",10)</f>
        <v>-</v>
      </c>
      <c r="B11" s="56"/>
      <c r="C11" s="56"/>
      <c r="D11" s="56"/>
      <c r="E11" s="110"/>
      <c r="F11" s="110"/>
      <c r="G11" s="110"/>
      <c r="H11" s="110"/>
      <c r="I11" s="110"/>
    </row>
    <row r="12" spans="1:9">
      <c r="A12" s="70" t="str">
        <f>IF(B12="","-",11)</f>
        <v>-</v>
      </c>
      <c r="B12" s="56"/>
      <c r="C12" s="56"/>
      <c r="D12" s="56"/>
      <c r="E12" s="110"/>
      <c r="F12" s="110"/>
      <c r="G12" s="110"/>
      <c r="H12" s="110"/>
      <c r="I12" s="110"/>
    </row>
    <row r="13" spans="1:9">
      <c r="A13" s="70" t="str">
        <f>IF(B13=""," -",12)</f>
        <v xml:space="preserve"> -</v>
      </c>
      <c r="B13" s="56"/>
      <c r="C13" s="56"/>
      <c r="D13" s="56"/>
      <c r="E13" s="110"/>
      <c r="F13" s="112" t="s">
        <v>275</v>
      </c>
      <c r="G13" s="110"/>
      <c r="H13" s="110"/>
      <c r="I13" s="110"/>
    </row>
    <row r="14" spans="1:9">
      <c r="A14" s="70" t="str">
        <f>IF(B14="","-",13)</f>
        <v>-</v>
      </c>
      <c r="B14" s="56"/>
      <c r="C14" s="56"/>
      <c r="D14" s="56"/>
      <c r="E14" s="110"/>
      <c r="F14" s="110"/>
      <c r="G14" s="110"/>
      <c r="H14" s="110"/>
      <c r="I14" s="110"/>
    </row>
    <row r="15" spans="1:9">
      <c r="A15" s="70" t="str">
        <f>IF(B15="","-",14)</f>
        <v>-</v>
      </c>
      <c r="B15" s="56"/>
      <c r="C15" s="56"/>
      <c r="D15" s="56"/>
      <c r="E15" s="110"/>
      <c r="F15" s="110"/>
      <c r="G15" s="110"/>
      <c r="H15" s="110"/>
      <c r="I15" s="110"/>
    </row>
    <row r="16" spans="1:9">
      <c r="A16" s="70" t="str">
        <f>IF(B16="","-",15)</f>
        <v>-</v>
      </c>
      <c r="B16" s="56"/>
      <c r="C16" s="56"/>
      <c r="D16" s="56"/>
      <c r="E16" s="110"/>
      <c r="F16" s="110"/>
      <c r="G16" s="110"/>
      <c r="H16" s="110"/>
      <c r="I16" s="110"/>
    </row>
    <row r="17" spans="1:11">
      <c r="A17" s="70" t="str">
        <f>IF(B17=""," -",16)</f>
        <v xml:space="preserve"> -</v>
      </c>
      <c r="B17" s="56"/>
      <c r="C17" s="56"/>
      <c r="D17" s="56"/>
      <c r="E17" s="110"/>
      <c r="F17" s="110"/>
      <c r="G17" s="110"/>
      <c r="H17" s="110"/>
      <c r="I17" s="110"/>
    </row>
    <row r="18" spans="1:11">
      <c r="A18" s="110"/>
      <c r="B18" s="110"/>
      <c r="C18" s="110"/>
      <c r="D18" s="110"/>
      <c r="E18" s="110"/>
      <c r="F18" s="110"/>
      <c r="G18" s="110"/>
      <c r="H18" s="110"/>
      <c r="I18" s="110"/>
    </row>
    <row r="19" spans="1:11">
      <c r="A19" s="110"/>
      <c r="B19" s="110"/>
      <c r="C19" s="110"/>
      <c r="D19" s="110"/>
      <c r="E19" s="110"/>
      <c r="F19" s="110"/>
      <c r="G19" s="110"/>
      <c r="H19" s="110"/>
      <c r="I19" s="110"/>
    </row>
    <row r="20" spans="1:11">
      <c r="A20" s="110"/>
      <c r="B20" s="110"/>
      <c r="C20" s="110"/>
      <c r="D20" s="110"/>
      <c r="E20" s="110"/>
      <c r="F20" s="110"/>
      <c r="G20" s="110"/>
      <c r="H20" s="110"/>
      <c r="I20" s="110"/>
    </row>
    <row r="21" spans="1:11">
      <c r="A21" s="110"/>
      <c r="B21" s="110"/>
      <c r="C21" s="110"/>
      <c r="D21" s="110"/>
      <c r="E21" s="110"/>
      <c r="F21" s="110"/>
      <c r="G21" s="110"/>
      <c r="H21" s="110"/>
      <c r="I21" s="110"/>
    </row>
    <row r="22" spans="1:11">
      <c r="A22" s="110"/>
      <c r="B22" s="110"/>
      <c r="C22" s="110"/>
      <c r="D22" s="110"/>
      <c r="E22" s="110"/>
      <c r="F22" s="110"/>
      <c r="G22" s="110"/>
      <c r="H22" s="110"/>
      <c r="I22" s="110"/>
    </row>
    <row r="23" spans="1:11">
      <c r="A23" s="110"/>
      <c r="B23" s="110"/>
      <c r="C23" s="110"/>
      <c r="D23" s="110"/>
      <c r="E23" s="110"/>
      <c r="F23" s="110"/>
      <c r="G23" s="110"/>
      <c r="H23" s="110"/>
      <c r="I23" s="110"/>
    </row>
    <row r="24" spans="1:11">
      <c r="A24" s="110"/>
      <c r="B24" s="110"/>
      <c r="C24" s="110"/>
      <c r="D24" s="110"/>
      <c r="E24" s="110"/>
      <c r="F24" s="110"/>
      <c r="G24" s="110"/>
      <c r="H24" s="110"/>
      <c r="I24" s="110"/>
    </row>
    <row r="25" spans="1:11">
      <c r="A25" s="110"/>
      <c r="B25" s="110"/>
      <c r="C25" s="110"/>
      <c r="D25" s="110"/>
      <c r="E25" s="110"/>
      <c r="F25" s="110"/>
      <c r="G25" s="110"/>
      <c r="H25" s="110"/>
      <c r="I25" s="110"/>
    </row>
    <row r="26" spans="1:11">
      <c r="A26" s="110"/>
      <c r="B26" s="110"/>
      <c r="C26" s="110"/>
      <c r="D26" s="110"/>
      <c r="E26" s="110"/>
      <c r="F26" s="110"/>
      <c r="G26" s="110"/>
      <c r="H26" s="110"/>
      <c r="I26" s="110"/>
    </row>
    <row r="27" spans="1:11">
      <c r="A27" s="110"/>
      <c r="B27" s="110"/>
      <c r="C27" s="110"/>
      <c r="D27" s="110"/>
      <c r="E27" s="110"/>
      <c r="F27" s="110"/>
      <c r="G27" s="110"/>
      <c r="H27" s="110"/>
      <c r="I27" s="111"/>
      <c r="J27" s="109"/>
      <c r="K27" s="109"/>
    </row>
    <row r="28" spans="1:11">
      <c r="A28" s="110"/>
      <c r="B28" s="110"/>
      <c r="C28" s="110"/>
      <c r="D28" s="110"/>
      <c r="E28" s="110"/>
      <c r="F28" s="110"/>
      <c r="G28" s="110"/>
      <c r="H28" s="110"/>
      <c r="I28" s="111"/>
      <c r="J28" s="109"/>
      <c r="K28" s="109"/>
    </row>
    <row r="29" spans="1:11">
      <c r="A29" s="110"/>
      <c r="B29" s="110"/>
      <c r="C29" s="110"/>
      <c r="D29" s="110"/>
      <c r="E29" s="110"/>
      <c r="F29" s="110"/>
      <c r="G29" s="110"/>
      <c r="H29" s="110"/>
      <c r="I29" s="111"/>
      <c r="J29" s="109"/>
      <c r="K29" s="109"/>
    </row>
    <row r="30" spans="1:11">
      <c r="A30" s="110"/>
      <c r="B30" s="110"/>
      <c r="C30" s="110"/>
      <c r="D30" s="110"/>
      <c r="E30" s="110"/>
      <c r="F30" s="110"/>
      <c r="G30" s="110"/>
      <c r="H30" s="110"/>
      <c r="I30" s="111"/>
      <c r="J30" s="109"/>
      <c r="K30" s="109"/>
    </row>
    <row r="31" spans="1:11">
      <c r="A31" s="110"/>
      <c r="B31" s="110"/>
      <c r="C31" s="110"/>
      <c r="D31" s="110"/>
      <c r="E31" s="110"/>
      <c r="F31" s="110"/>
      <c r="G31" s="110"/>
      <c r="H31" s="110"/>
      <c r="I31" s="111"/>
      <c r="J31" s="109"/>
      <c r="K31" s="109"/>
    </row>
    <row r="32" spans="1:11">
      <c r="A32" s="110"/>
      <c r="B32" s="110"/>
      <c r="C32" s="110"/>
      <c r="D32" s="110"/>
      <c r="E32" s="110"/>
      <c r="F32" s="110"/>
      <c r="G32" s="110"/>
      <c r="H32" s="110"/>
      <c r="I32" s="111"/>
      <c r="J32" s="109"/>
      <c r="K32" s="109"/>
    </row>
    <row r="33" spans="1:11">
      <c r="A33" s="110"/>
      <c r="B33" s="110"/>
      <c r="C33" s="110"/>
      <c r="D33" s="110"/>
      <c r="E33" s="110"/>
      <c r="F33" s="110"/>
      <c r="G33" s="110"/>
      <c r="H33" s="110"/>
      <c r="I33" s="111"/>
      <c r="J33" s="109"/>
      <c r="K33" s="109"/>
    </row>
    <row r="34" spans="1:11">
      <c r="A34" s="110"/>
      <c r="B34" s="110"/>
      <c r="C34" s="110"/>
      <c r="D34" s="110"/>
      <c r="E34" s="110"/>
      <c r="F34" s="110"/>
      <c r="G34" s="110"/>
      <c r="H34" s="110"/>
      <c r="I34" s="111"/>
      <c r="J34" s="109"/>
      <c r="K34" s="109"/>
    </row>
    <row r="35" spans="1:11">
      <c r="A35" s="110"/>
      <c r="B35" s="110"/>
      <c r="C35" s="110"/>
      <c r="D35" s="110"/>
      <c r="E35" s="110"/>
      <c r="F35" s="110"/>
      <c r="G35" s="110"/>
      <c r="H35" s="110"/>
      <c r="I35" s="111"/>
      <c r="J35" s="109"/>
      <c r="K35" s="109"/>
    </row>
    <row r="36" spans="1:11">
      <c r="A36" s="110"/>
      <c r="B36" s="110"/>
      <c r="C36" s="110"/>
      <c r="D36" s="110"/>
      <c r="E36" s="110"/>
      <c r="F36" s="110"/>
      <c r="G36" s="110"/>
      <c r="H36" s="110"/>
      <c r="I36" s="111"/>
      <c r="J36" s="109"/>
      <c r="K36" s="109"/>
    </row>
    <row r="37" spans="1:11">
      <c r="A37" s="110"/>
      <c r="B37" s="110"/>
      <c r="C37" s="110"/>
      <c r="D37" s="110"/>
      <c r="E37" s="110"/>
      <c r="F37" s="110"/>
      <c r="G37" s="110"/>
      <c r="H37" s="110"/>
      <c r="I37" s="111"/>
      <c r="J37" s="109"/>
      <c r="K37" s="109"/>
    </row>
    <row r="38" spans="1:11">
      <c r="A38" s="110"/>
      <c r="B38" s="110"/>
      <c r="C38" s="110"/>
      <c r="D38" s="110"/>
      <c r="E38" s="110"/>
      <c r="F38" s="110"/>
      <c r="G38" s="110"/>
      <c r="H38" s="110"/>
      <c r="I38" s="111"/>
      <c r="J38" s="109"/>
      <c r="K38" s="109"/>
    </row>
    <row r="39" spans="1:11">
      <c r="A39" s="110"/>
      <c r="B39" s="110"/>
      <c r="C39" s="110"/>
      <c r="D39" s="110"/>
      <c r="E39" s="110"/>
      <c r="F39" s="110"/>
      <c r="G39" s="110"/>
      <c r="H39" s="110"/>
      <c r="I39" s="111"/>
      <c r="J39" s="109"/>
      <c r="K39" s="109"/>
    </row>
    <row r="40" spans="1:11">
      <c r="A40" s="110"/>
      <c r="B40" s="110"/>
      <c r="C40" s="110"/>
      <c r="D40" s="110"/>
      <c r="E40" s="110"/>
      <c r="F40" s="110"/>
      <c r="G40" s="110"/>
      <c r="H40" s="110"/>
      <c r="I40" s="111"/>
      <c r="J40" s="109"/>
      <c r="K40" s="109"/>
    </row>
    <row r="41" spans="1:11">
      <c r="A41" s="110"/>
      <c r="B41" s="110"/>
      <c r="C41" s="110"/>
      <c r="D41" s="110"/>
      <c r="E41" s="110"/>
      <c r="F41" s="110"/>
      <c r="G41" s="110"/>
      <c r="H41" s="110"/>
      <c r="I41" s="111"/>
      <c r="J41" s="109"/>
      <c r="K41" s="109"/>
    </row>
    <row r="42" spans="1:11">
      <c r="A42" s="110"/>
      <c r="B42" s="110"/>
      <c r="C42" s="110"/>
      <c r="D42" s="110"/>
      <c r="E42" s="110"/>
      <c r="F42" s="110"/>
      <c r="G42" s="110"/>
      <c r="H42" s="110"/>
      <c r="I42" s="111"/>
      <c r="J42" s="109"/>
      <c r="K42" s="109"/>
    </row>
    <row r="43" spans="1:11">
      <c r="A43" s="107"/>
      <c r="B43" s="107"/>
      <c r="C43" s="107"/>
      <c r="D43" s="107"/>
      <c r="E43" s="107"/>
      <c r="F43" s="107"/>
      <c r="G43" s="107"/>
      <c r="H43" s="107"/>
      <c r="I43" s="107"/>
    </row>
    <row r="44" spans="1:11">
      <c r="A44" s="107"/>
      <c r="B44" s="107"/>
      <c r="C44" s="107"/>
      <c r="D44" s="107"/>
      <c r="E44" s="107"/>
      <c r="F44" s="107"/>
      <c r="G44" s="107"/>
      <c r="H44" s="107"/>
      <c r="I44" s="107"/>
    </row>
    <row r="45" spans="1:11">
      <c r="A45" s="107"/>
      <c r="B45" s="107"/>
      <c r="C45" s="107"/>
      <c r="D45" s="107"/>
      <c r="E45" s="107"/>
      <c r="F45" s="107"/>
      <c r="G45" s="107"/>
      <c r="H45" s="107"/>
      <c r="I45" s="107"/>
    </row>
  </sheetData>
  <mergeCells count="4">
    <mergeCell ref="G1:I1"/>
    <mergeCell ref="G2:I2"/>
    <mergeCell ref="G3:I3"/>
    <mergeCell ref="G4:I4"/>
  </mergeCells>
  <phoneticPr fontId="1" type="noConversion"/>
  <conditionalFormatting sqref="G2:I4">
    <cfRule type="containsText" dxfId="3" priority="1" operator="containsText" text="NG">
      <formula>NOT(ISERROR(SEARCH("NG",G2)))</formula>
    </cfRule>
    <cfRule type="containsText" dxfId="2" priority="2" operator="containsText" text="PASS">
      <formula>NOT(ISERROR(SEARCH("PASS",G2)))</formula>
    </cfRule>
  </conditionalFormatting>
  <pageMargins left="0.7" right="0.7" top="0.75" bottom="0.75" header="0.3" footer="0.3"/>
  <pageSetup paperSize="9" scale="92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5</xdr:col>
                <xdr:colOff>0</xdr:colOff>
                <xdr:row>13</xdr:row>
                <xdr:rowOff>38100</xdr:rowOff>
              </from>
              <to>
                <xdr:col>5</xdr:col>
                <xdr:colOff>1066800</xdr:colOff>
                <xdr:row>15</xdr:row>
                <xdr:rowOff>121920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45"/>
  <sheetViews>
    <sheetView view="pageBreakPreview" zoomScaleNormal="100" zoomScaleSheetLayoutView="100" workbookViewId="0">
      <selection activeCell="F11" sqref="F11"/>
    </sheetView>
  </sheetViews>
  <sheetFormatPr defaultRowHeight="16.2"/>
  <cols>
    <col min="1" max="1" width="14.109375" bestFit="1" customWidth="1"/>
    <col min="6" max="6" width="18" bestFit="1" customWidth="1"/>
  </cols>
  <sheetData>
    <row r="1" spans="1:10" ht="23.4">
      <c r="A1" s="113" t="s">
        <v>277</v>
      </c>
      <c r="B1" s="113" t="s">
        <v>6</v>
      </c>
      <c r="C1" s="113" t="s">
        <v>8</v>
      </c>
      <c r="D1" s="113" t="s">
        <v>7</v>
      </c>
      <c r="E1" s="110"/>
      <c r="F1" s="55" t="s">
        <v>153</v>
      </c>
      <c r="G1" s="143" t="s">
        <v>180</v>
      </c>
      <c r="H1" s="144"/>
      <c r="I1" s="145"/>
      <c r="J1" s="107"/>
    </row>
    <row r="2" spans="1:10" ht="21">
      <c r="A2" s="70" t="str">
        <f>IF(B2="","-",1)</f>
        <v>-</v>
      </c>
      <c r="B2" s="56"/>
      <c r="C2" s="56"/>
      <c r="D2" s="56"/>
      <c r="E2" s="110"/>
      <c r="F2" s="30" t="s">
        <v>131</v>
      </c>
      <c r="G2" s="136"/>
      <c r="H2" s="137"/>
      <c r="I2" s="138"/>
      <c r="J2" s="107"/>
    </row>
    <row r="3" spans="1:10" ht="21">
      <c r="A3" s="70" t="str">
        <f>IF(B3="","-",2)</f>
        <v>-</v>
      </c>
      <c r="B3" s="56"/>
      <c r="C3" s="56"/>
      <c r="D3" s="56"/>
      <c r="E3" s="110"/>
      <c r="F3" s="30" t="s">
        <v>130</v>
      </c>
      <c r="G3" s="136"/>
      <c r="H3" s="137"/>
      <c r="I3" s="138"/>
      <c r="J3" s="107"/>
    </row>
    <row r="4" spans="1:10" ht="21.6" thickBot="1">
      <c r="A4" s="70" t="str">
        <f>IF(B4="","-",3)</f>
        <v>-</v>
      </c>
      <c r="B4" s="56"/>
      <c r="C4" s="56"/>
      <c r="D4" s="56"/>
      <c r="E4" s="110"/>
      <c r="F4" s="31" t="s">
        <v>132</v>
      </c>
      <c r="G4" s="136"/>
      <c r="H4" s="137"/>
      <c r="I4" s="138"/>
      <c r="J4" s="107"/>
    </row>
    <row r="5" spans="1:10">
      <c r="A5" s="70" t="str">
        <f>IF(B5=""," -",4)</f>
        <v xml:space="preserve"> -</v>
      </c>
      <c r="B5" s="56"/>
      <c r="C5" s="56"/>
      <c r="D5" s="56"/>
      <c r="E5" s="110"/>
      <c r="F5" s="110"/>
      <c r="G5" s="110"/>
      <c r="H5" s="110"/>
      <c r="I5" s="110"/>
      <c r="J5" s="107"/>
    </row>
    <row r="6" spans="1:10">
      <c r="A6" s="70" t="str">
        <f>IF(B6="","-",5)</f>
        <v>-</v>
      </c>
      <c r="B6" s="56"/>
      <c r="C6" s="56"/>
      <c r="D6" s="56"/>
      <c r="E6" s="110"/>
      <c r="F6" s="110"/>
      <c r="G6" s="110"/>
      <c r="H6" s="110"/>
      <c r="I6" s="110"/>
      <c r="J6" s="107"/>
    </row>
    <row r="7" spans="1:10">
      <c r="A7" s="70" t="str">
        <f>IF(B7="","-",6)</f>
        <v>-</v>
      </c>
      <c r="B7" s="56"/>
      <c r="C7" s="56"/>
      <c r="D7" s="56"/>
      <c r="E7" s="110"/>
      <c r="F7" s="110"/>
      <c r="G7" s="110"/>
      <c r="H7" s="110"/>
      <c r="I7" s="110"/>
      <c r="J7" s="107"/>
    </row>
    <row r="8" spans="1:10">
      <c r="A8" s="70" t="str">
        <f>IF(B8="","-",7)</f>
        <v>-</v>
      </c>
      <c r="B8" s="56"/>
      <c r="C8" s="56"/>
      <c r="D8" s="56"/>
      <c r="E8" s="110"/>
      <c r="F8" s="112" t="s">
        <v>275</v>
      </c>
      <c r="G8" s="110"/>
      <c r="H8" s="110"/>
      <c r="I8" s="110"/>
      <c r="J8" s="107"/>
    </row>
    <row r="9" spans="1:10">
      <c r="A9" s="70" t="str">
        <f>IF(B9=""," -",8)</f>
        <v xml:space="preserve"> -</v>
      </c>
      <c r="B9" s="56"/>
      <c r="C9" s="56"/>
      <c r="D9" s="56"/>
      <c r="E9" s="110"/>
      <c r="F9" s="110"/>
      <c r="G9" s="110"/>
      <c r="H9" s="110"/>
      <c r="I9" s="110"/>
      <c r="J9" s="107"/>
    </row>
    <row r="10" spans="1:10">
      <c r="A10" s="70" t="str">
        <f>IF(B10="","-",9)</f>
        <v>-</v>
      </c>
      <c r="B10" s="56"/>
      <c r="C10" s="56"/>
      <c r="D10" s="56"/>
      <c r="E10" s="110"/>
      <c r="F10" s="110"/>
      <c r="G10" s="110"/>
      <c r="H10" s="110"/>
      <c r="I10" s="110"/>
      <c r="J10" s="107"/>
    </row>
    <row r="11" spans="1:10">
      <c r="A11" s="70" t="str">
        <f>IF(B11="","-",10)</f>
        <v>-</v>
      </c>
      <c r="B11" s="56"/>
      <c r="C11" s="56"/>
      <c r="D11" s="56"/>
      <c r="E11" s="110"/>
      <c r="F11" s="110"/>
      <c r="G11" s="110"/>
      <c r="H11" s="110"/>
      <c r="I11" s="110"/>
      <c r="J11" s="107"/>
    </row>
    <row r="12" spans="1:10">
      <c r="A12" s="70" t="str">
        <f>IF(B12="","-",11)</f>
        <v>-</v>
      </c>
      <c r="B12" s="56"/>
      <c r="C12" s="56"/>
      <c r="D12" s="56"/>
      <c r="E12" s="110"/>
      <c r="F12" s="110"/>
      <c r="G12" s="110"/>
      <c r="H12" s="110"/>
      <c r="I12" s="110"/>
      <c r="J12" s="107"/>
    </row>
    <row r="13" spans="1:10">
      <c r="A13" s="70" t="str">
        <f>IF(B13=""," -",12)</f>
        <v xml:space="preserve"> -</v>
      </c>
      <c r="B13" s="56"/>
      <c r="C13" s="56"/>
      <c r="D13" s="56"/>
      <c r="E13" s="110"/>
      <c r="F13" s="110"/>
      <c r="G13" s="110"/>
      <c r="H13" s="110"/>
      <c r="I13" s="110"/>
      <c r="J13" s="107"/>
    </row>
    <row r="14" spans="1:10">
      <c r="A14" s="70" t="str">
        <f>IF(B14="","-",13)</f>
        <v>-</v>
      </c>
      <c r="B14" s="56"/>
      <c r="C14" s="56"/>
      <c r="D14" s="56"/>
      <c r="E14" s="110"/>
      <c r="F14" s="110"/>
      <c r="G14" s="110"/>
      <c r="H14" s="110"/>
      <c r="I14" s="110"/>
      <c r="J14" s="107"/>
    </row>
    <row r="15" spans="1:10">
      <c r="A15" s="70" t="str">
        <f>IF(B15="","-",14)</f>
        <v>-</v>
      </c>
      <c r="B15" s="56"/>
      <c r="C15" s="56"/>
      <c r="D15" s="56"/>
      <c r="E15" s="110"/>
      <c r="F15" s="110"/>
      <c r="G15" s="110"/>
      <c r="H15" s="110"/>
      <c r="I15" s="110"/>
      <c r="J15" s="107"/>
    </row>
    <row r="16" spans="1:10">
      <c r="A16" s="70" t="str">
        <f>IF(B16="","-",15)</f>
        <v>-</v>
      </c>
      <c r="B16" s="56"/>
      <c r="C16" s="56"/>
      <c r="D16" s="56"/>
      <c r="E16" s="110"/>
      <c r="F16" s="110"/>
      <c r="G16" s="110"/>
      <c r="H16" s="110"/>
      <c r="I16" s="110"/>
      <c r="J16" s="107"/>
    </row>
    <row r="17" spans="1:11">
      <c r="A17" s="70" t="str">
        <f>IF(B17=""," -",16)</f>
        <v xml:space="preserve"> -</v>
      </c>
      <c r="B17" s="56"/>
      <c r="C17" s="56"/>
      <c r="D17" s="56"/>
      <c r="E17" s="110"/>
      <c r="F17" s="110"/>
      <c r="G17" s="110"/>
      <c r="H17" s="110"/>
      <c r="I17" s="110"/>
      <c r="J17" s="107"/>
    </row>
    <row r="18" spans="1:11">
      <c r="A18" s="110"/>
      <c r="B18" s="110"/>
      <c r="C18" s="110"/>
      <c r="D18" s="110"/>
      <c r="E18" s="110"/>
      <c r="F18" s="110"/>
      <c r="G18" s="110"/>
      <c r="H18" s="110"/>
      <c r="I18" s="110"/>
      <c r="J18" s="107"/>
    </row>
    <row r="19" spans="1:11">
      <c r="A19" s="110"/>
      <c r="B19" s="110"/>
      <c r="C19" s="110"/>
      <c r="D19" s="110"/>
      <c r="E19" s="110"/>
      <c r="F19" s="110"/>
      <c r="G19" s="110"/>
      <c r="H19" s="110"/>
      <c r="I19" s="110"/>
      <c r="J19" s="107"/>
    </row>
    <row r="20" spans="1:11">
      <c r="A20" s="110"/>
      <c r="B20" s="110"/>
      <c r="C20" s="110"/>
      <c r="D20" s="110"/>
      <c r="E20" s="110"/>
      <c r="F20" s="110"/>
      <c r="G20" s="110"/>
      <c r="H20" s="110"/>
      <c r="I20" s="110"/>
      <c r="J20" s="107"/>
    </row>
    <row r="21" spans="1:11">
      <c r="A21" s="110"/>
      <c r="B21" s="110"/>
      <c r="C21" s="110"/>
      <c r="D21" s="110"/>
      <c r="E21" s="110"/>
      <c r="F21" s="110"/>
      <c r="G21" s="110"/>
      <c r="H21" s="110"/>
      <c r="I21" s="110"/>
      <c r="J21" s="107"/>
    </row>
    <row r="22" spans="1:11">
      <c r="A22" s="110"/>
      <c r="B22" s="110"/>
      <c r="C22" s="110"/>
      <c r="D22" s="110"/>
      <c r="E22" s="110"/>
      <c r="F22" s="110"/>
      <c r="G22" s="110"/>
      <c r="H22" s="110"/>
      <c r="I22" s="110"/>
      <c r="J22" s="107"/>
    </row>
    <row r="23" spans="1:11">
      <c r="A23" s="110"/>
      <c r="B23" s="110"/>
      <c r="C23" s="110"/>
      <c r="D23" s="110"/>
      <c r="E23" s="110"/>
      <c r="F23" s="110"/>
      <c r="G23" s="110"/>
      <c r="H23" s="110"/>
      <c r="I23" s="110"/>
      <c r="J23" s="107"/>
    </row>
    <row r="24" spans="1:11">
      <c r="A24" s="110"/>
      <c r="B24" s="110"/>
      <c r="C24" s="110"/>
      <c r="D24" s="110"/>
      <c r="E24" s="110"/>
      <c r="F24" s="110"/>
      <c r="G24" s="110"/>
      <c r="H24" s="110"/>
      <c r="I24" s="110"/>
      <c r="J24" s="107"/>
    </row>
    <row r="25" spans="1:11">
      <c r="A25" s="110"/>
      <c r="B25" s="110"/>
      <c r="C25" s="110"/>
      <c r="D25" s="110"/>
      <c r="E25" s="110"/>
      <c r="F25" s="110"/>
      <c r="G25" s="110"/>
      <c r="H25" s="110"/>
      <c r="I25" s="110"/>
      <c r="J25" s="107"/>
    </row>
    <row r="26" spans="1:11">
      <c r="A26" s="110"/>
      <c r="B26" s="110"/>
      <c r="C26" s="110"/>
      <c r="D26" s="110"/>
      <c r="E26" s="110"/>
      <c r="F26" s="110"/>
      <c r="G26" s="110"/>
      <c r="H26" s="110"/>
      <c r="I26" s="110"/>
      <c r="J26" s="107"/>
    </row>
    <row r="27" spans="1:11">
      <c r="A27" s="110"/>
      <c r="B27" s="110"/>
      <c r="C27" s="110"/>
      <c r="D27" s="110"/>
      <c r="E27" s="110"/>
      <c r="F27" s="110"/>
      <c r="G27" s="110"/>
      <c r="H27" s="110"/>
      <c r="I27" s="111"/>
      <c r="J27" s="108"/>
      <c r="K27" s="109"/>
    </row>
    <row r="28" spans="1:11">
      <c r="A28" s="110"/>
      <c r="B28" s="110"/>
      <c r="C28" s="110"/>
      <c r="D28" s="110"/>
      <c r="E28" s="110"/>
      <c r="F28" s="110"/>
      <c r="G28" s="110"/>
      <c r="H28" s="110"/>
      <c r="I28" s="111"/>
      <c r="J28" s="108"/>
      <c r="K28" s="109"/>
    </row>
    <row r="29" spans="1:11">
      <c r="A29" s="110"/>
      <c r="B29" s="110"/>
      <c r="C29" s="110"/>
      <c r="D29" s="110"/>
      <c r="E29" s="110"/>
      <c r="F29" s="110"/>
      <c r="G29" s="110"/>
      <c r="H29" s="110"/>
      <c r="I29" s="111"/>
      <c r="J29" s="108"/>
      <c r="K29" s="109"/>
    </row>
    <row r="30" spans="1:11">
      <c r="A30" s="110"/>
      <c r="B30" s="110"/>
      <c r="C30" s="110"/>
      <c r="D30" s="110"/>
      <c r="E30" s="110"/>
      <c r="F30" s="110"/>
      <c r="G30" s="110"/>
      <c r="H30" s="110"/>
      <c r="I30" s="111"/>
      <c r="J30" s="108"/>
      <c r="K30" s="109"/>
    </row>
    <row r="31" spans="1:11">
      <c r="A31" s="110"/>
      <c r="B31" s="110"/>
      <c r="C31" s="110"/>
      <c r="D31" s="110"/>
      <c r="E31" s="110"/>
      <c r="F31" s="110"/>
      <c r="G31" s="110"/>
      <c r="H31" s="110"/>
      <c r="I31" s="111"/>
      <c r="J31" s="108"/>
      <c r="K31" s="109"/>
    </row>
    <row r="32" spans="1:11">
      <c r="A32" s="110"/>
      <c r="B32" s="110"/>
      <c r="C32" s="110"/>
      <c r="D32" s="110"/>
      <c r="E32" s="110"/>
      <c r="F32" s="110"/>
      <c r="G32" s="110"/>
      <c r="H32" s="110"/>
      <c r="I32" s="111"/>
      <c r="J32" s="108"/>
      <c r="K32" s="109"/>
    </row>
    <row r="33" spans="1:11">
      <c r="A33" s="110"/>
      <c r="B33" s="110"/>
      <c r="C33" s="110"/>
      <c r="D33" s="110"/>
      <c r="E33" s="110"/>
      <c r="F33" s="110"/>
      <c r="G33" s="110"/>
      <c r="H33" s="110"/>
      <c r="I33" s="111"/>
      <c r="J33" s="108"/>
      <c r="K33" s="109"/>
    </row>
    <row r="34" spans="1:11">
      <c r="A34" s="110"/>
      <c r="B34" s="110"/>
      <c r="C34" s="110"/>
      <c r="D34" s="110"/>
      <c r="E34" s="110"/>
      <c r="F34" s="110"/>
      <c r="G34" s="110"/>
      <c r="H34" s="110"/>
      <c r="I34" s="111"/>
      <c r="J34" s="108"/>
      <c r="K34" s="109"/>
    </row>
    <row r="35" spans="1:11">
      <c r="A35" s="110"/>
      <c r="B35" s="110"/>
      <c r="C35" s="110"/>
      <c r="D35" s="110"/>
      <c r="E35" s="110"/>
      <c r="F35" s="110"/>
      <c r="G35" s="110"/>
      <c r="H35" s="110"/>
      <c r="I35" s="111"/>
      <c r="J35" s="108"/>
      <c r="K35" s="109"/>
    </row>
    <row r="36" spans="1:11">
      <c r="A36" s="110"/>
      <c r="B36" s="110"/>
      <c r="C36" s="110"/>
      <c r="D36" s="110"/>
      <c r="E36" s="110"/>
      <c r="F36" s="110"/>
      <c r="G36" s="110"/>
      <c r="H36" s="110"/>
      <c r="I36" s="111"/>
      <c r="J36" s="108"/>
      <c r="K36" s="109"/>
    </row>
    <row r="37" spans="1:11">
      <c r="A37" s="110"/>
      <c r="B37" s="110"/>
      <c r="C37" s="110"/>
      <c r="D37" s="110"/>
      <c r="E37" s="110"/>
      <c r="F37" s="110"/>
      <c r="G37" s="110"/>
      <c r="H37" s="110"/>
      <c r="I37" s="111"/>
      <c r="J37" s="108"/>
      <c r="K37" s="109"/>
    </row>
    <row r="38" spans="1:11">
      <c r="A38" s="110"/>
      <c r="B38" s="110"/>
      <c r="C38" s="110"/>
      <c r="D38" s="110"/>
      <c r="E38" s="110"/>
      <c r="F38" s="110"/>
      <c r="G38" s="110"/>
      <c r="H38" s="110"/>
      <c r="I38" s="111"/>
      <c r="J38" s="108"/>
      <c r="K38" s="109"/>
    </row>
    <row r="39" spans="1:11">
      <c r="A39" s="110"/>
      <c r="B39" s="110"/>
      <c r="C39" s="110"/>
      <c r="D39" s="110"/>
      <c r="E39" s="110"/>
      <c r="F39" s="110"/>
      <c r="G39" s="110"/>
      <c r="H39" s="110"/>
      <c r="I39" s="111"/>
      <c r="J39" s="108"/>
      <c r="K39" s="109"/>
    </row>
    <row r="40" spans="1:11">
      <c r="A40" s="110"/>
      <c r="B40" s="110"/>
      <c r="C40" s="110"/>
      <c r="D40" s="110"/>
      <c r="E40" s="110"/>
      <c r="F40" s="110"/>
      <c r="G40" s="110"/>
      <c r="H40" s="110"/>
      <c r="I40" s="111"/>
      <c r="J40" s="108"/>
      <c r="K40" s="109"/>
    </row>
    <row r="41" spans="1:11">
      <c r="A41" s="110"/>
      <c r="B41" s="110"/>
      <c r="C41" s="110"/>
      <c r="D41" s="110"/>
      <c r="E41" s="110"/>
      <c r="F41" s="110"/>
      <c r="G41" s="110"/>
      <c r="H41" s="110"/>
      <c r="I41" s="111"/>
      <c r="J41" s="108"/>
      <c r="K41" s="109"/>
    </row>
    <row r="42" spans="1:11">
      <c r="A42" s="110"/>
      <c r="B42" s="110"/>
      <c r="C42" s="110"/>
      <c r="D42" s="110"/>
      <c r="E42" s="110"/>
      <c r="F42" s="110"/>
      <c r="G42" s="110"/>
      <c r="H42" s="110"/>
      <c r="I42" s="111"/>
      <c r="J42" s="108"/>
      <c r="K42" s="109"/>
    </row>
    <row r="43" spans="1:11">
      <c r="A43" s="107"/>
      <c r="B43" s="107"/>
      <c r="C43" s="107"/>
      <c r="D43" s="107"/>
      <c r="E43" s="107"/>
      <c r="F43" s="107"/>
      <c r="G43" s="107"/>
      <c r="H43" s="107"/>
      <c r="I43" s="107"/>
      <c r="J43" s="107"/>
    </row>
    <row r="44" spans="1:11">
      <c r="A44" s="107"/>
      <c r="B44" s="107"/>
      <c r="C44" s="107"/>
      <c r="D44" s="107"/>
      <c r="E44" s="107"/>
      <c r="F44" s="107"/>
      <c r="G44" s="107"/>
      <c r="H44" s="107"/>
      <c r="I44" s="107"/>
      <c r="J44" s="107"/>
    </row>
    <row r="45" spans="1:11">
      <c r="A45" s="107"/>
      <c r="B45" s="107"/>
      <c r="C45" s="107"/>
      <c r="D45" s="107"/>
      <c r="E45" s="107"/>
      <c r="F45" s="107"/>
      <c r="G45" s="107"/>
      <c r="H45" s="107"/>
      <c r="I45" s="107"/>
      <c r="J45" s="107"/>
    </row>
  </sheetData>
  <mergeCells count="4">
    <mergeCell ref="G1:I1"/>
    <mergeCell ref="G2:I2"/>
    <mergeCell ref="G3:I3"/>
    <mergeCell ref="G4:I4"/>
  </mergeCells>
  <phoneticPr fontId="1" type="noConversion"/>
  <conditionalFormatting sqref="G2:I4">
    <cfRule type="containsText" dxfId="1" priority="1" operator="containsText" text="NG">
      <formula>NOT(ISERROR(SEARCH("NG",G2)))</formula>
    </cfRule>
    <cfRule type="containsText" dxfId="0" priority="2" operator="containsText" text="PASS">
      <formula>NOT(ISERROR(SEARCH("PASS",G2)))</formula>
    </cfRule>
  </conditionalFormatting>
  <pageMargins left="0.7" right="0.7" top="0.75" bottom="0.75" header="0.3" footer="0.3"/>
  <pageSetup paperSize="9" scale="85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Fill="0" autoLine="0" r:id="rId5">
            <anchor moveWithCells="1">
              <from>
                <xdr:col>5</xdr:col>
                <xdr:colOff>7620</xdr:colOff>
                <xdr:row>8</xdr:row>
                <xdr:rowOff>30480</xdr:rowOff>
              </from>
              <to>
                <xdr:col>5</xdr:col>
                <xdr:colOff>1074420</xdr:colOff>
                <xdr:row>10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filterMode="1">
    <tabColor rgb="FF00B0F0"/>
  </sheetPr>
  <dimension ref="A1:AB22"/>
  <sheetViews>
    <sheetView showGridLines="0" workbookViewId="0">
      <selection activeCell="Q53" sqref="Q53"/>
    </sheetView>
  </sheetViews>
  <sheetFormatPr defaultColWidth="9" defaultRowHeight="20.100000000000001" customHeight="1"/>
  <cols>
    <col min="1" max="1" width="0.88671875" style="24" customWidth="1"/>
    <col min="2" max="2" width="0" style="24" hidden="1" customWidth="1"/>
    <col min="3" max="3" width="15.33203125" style="24" customWidth="1"/>
    <col min="4" max="6" width="0" style="24" hidden="1" customWidth="1"/>
    <col min="7" max="7" width="9" style="24"/>
    <col min="8" max="8" width="6" style="24" customWidth="1"/>
    <col min="9" max="9" width="3.77734375" style="26" customWidth="1"/>
    <col min="10" max="10" width="6.109375" style="24" customWidth="1"/>
    <col min="11" max="11" width="11.21875" style="24" customWidth="1"/>
    <col min="12" max="13" width="0" style="24" hidden="1" customWidth="1"/>
    <col min="14" max="14" width="10.21875" style="24" customWidth="1"/>
    <col min="15" max="16" width="0" style="24" hidden="1" customWidth="1"/>
    <col min="17" max="17" width="11" style="24" customWidth="1"/>
    <col min="18" max="22" width="0" style="24" hidden="1" customWidth="1"/>
    <col min="23" max="24" width="9" style="24"/>
    <col min="25" max="25" width="0" style="24" hidden="1" customWidth="1"/>
    <col min="26" max="26" width="9" style="24"/>
    <col min="27" max="27" width="0" style="24" hidden="1" customWidth="1"/>
    <col min="28" max="16384" width="9" style="24"/>
  </cols>
  <sheetData>
    <row r="1" spans="1:28" ht="6" customHeight="1"/>
    <row r="2" spans="1:28" ht="20.100000000000001" customHeight="1">
      <c r="C2" s="24" t="s">
        <v>115</v>
      </c>
    </row>
    <row r="3" spans="1:28" ht="20.100000000000001" customHeight="1">
      <c r="C3" s="156" t="s">
        <v>139</v>
      </c>
      <c r="D3" s="157"/>
      <c r="E3" s="157"/>
      <c r="F3" s="157"/>
      <c r="G3" s="158"/>
    </row>
    <row r="5" spans="1:28" ht="20.100000000000001" customHeight="1">
      <c r="C5" s="25" t="s">
        <v>104</v>
      </c>
      <c r="D5" s="25"/>
      <c r="E5" s="25"/>
      <c r="F5" s="25"/>
      <c r="G5" s="25" t="s">
        <v>117</v>
      </c>
      <c r="H5" s="25" t="s">
        <v>106</v>
      </c>
      <c r="I5" s="159" t="s">
        <v>107</v>
      </c>
      <c r="J5" s="160"/>
      <c r="K5" s="25" t="s">
        <v>108</v>
      </c>
      <c r="L5" s="25"/>
      <c r="M5" s="25"/>
      <c r="N5" s="25" t="s">
        <v>109</v>
      </c>
      <c r="O5" s="25"/>
      <c r="P5" s="25"/>
      <c r="Q5" s="25" t="s">
        <v>118</v>
      </c>
      <c r="R5" s="25"/>
      <c r="S5" s="25"/>
      <c r="T5" s="25"/>
      <c r="U5" s="25"/>
      <c r="V5" s="25"/>
      <c r="W5" s="25" t="s">
        <v>119</v>
      </c>
      <c r="X5" s="25" t="s">
        <v>120</v>
      </c>
      <c r="Y5" s="25"/>
      <c r="Z5" s="25" t="s">
        <v>107</v>
      </c>
      <c r="AB5" s="25" t="s">
        <v>121</v>
      </c>
    </row>
    <row r="6" spans="1:28" ht="20.100000000000001" hidden="1" customHeight="1">
      <c r="A6" s="24" t="s">
        <v>182</v>
      </c>
      <c r="B6" s="24" t="s">
        <v>183</v>
      </c>
      <c r="C6" s="24" t="s">
        <v>184</v>
      </c>
      <c r="D6" s="24" t="s">
        <v>185</v>
      </c>
      <c r="E6" s="24" t="s">
        <v>43</v>
      </c>
      <c r="F6" s="24" t="s">
        <v>44</v>
      </c>
      <c r="G6" s="24" t="s">
        <v>186</v>
      </c>
      <c r="H6" s="24" t="s">
        <v>187</v>
      </c>
      <c r="I6" s="26" t="s">
        <v>188</v>
      </c>
      <c r="J6" s="24" t="s">
        <v>189</v>
      </c>
      <c r="K6" s="24" t="s">
        <v>49</v>
      </c>
      <c r="L6" s="24" t="s">
        <v>190</v>
      </c>
      <c r="M6" s="24" t="s">
        <v>191</v>
      </c>
      <c r="N6" s="24" t="s">
        <v>52</v>
      </c>
      <c r="O6" s="24" t="s">
        <v>192</v>
      </c>
      <c r="P6" s="24" t="s">
        <v>193</v>
      </c>
      <c r="Q6" s="24" t="s">
        <v>55</v>
      </c>
      <c r="R6" s="24" t="s">
        <v>194</v>
      </c>
      <c r="S6" s="24" t="s">
        <v>195</v>
      </c>
      <c r="T6" s="24" t="s">
        <v>196</v>
      </c>
      <c r="U6" s="24" t="s">
        <v>197</v>
      </c>
      <c r="V6" s="24" t="s">
        <v>198</v>
      </c>
      <c r="W6" s="24" t="s">
        <v>61</v>
      </c>
      <c r="X6" s="24" t="s">
        <v>62</v>
      </c>
      <c r="Y6" s="24" t="s">
        <v>199</v>
      </c>
      <c r="Z6" s="24" t="s">
        <v>200</v>
      </c>
      <c r="AA6" s="24" t="s">
        <v>201</v>
      </c>
      <c r="AB6" s="24" t="s">
        <v>123</v>
      </c>
    </row>
    <row r="7" spans="1:28" ht="20.100000000000001" hidden="1" customHeight="1">
      <c r="B7" s="24" t="s">
        <v>202</v>
      </c>
      <c r="C7" s="24" t="s">
        <v>203</v>
      </c>
      <c r="D7" s="24" t="s">
        <v>204</v>
      </c>
      <c r="E7" s="24">
        <v>2</v>
      </c>
      <c r="F7" s="24">
        <v>4</v>
      </c>
      <c r="G7" s="24" t="s">
        <v>205</v>
      </c>
      <c r="H7" s="24" t="s">
        <v>206</v>
      </c>
      <c r="I7" s="26" t="s">
        <v>207</v>
      </c>
      <c r="J7" s="24" t="s">
        <v>208</v>
      </c>
      <c r="K7" s="24">
        <v>570.24</v>
      </c>
      <c r="L7" s="24" t="s">
        <v>209</v>
      </c>
      <c r="M7" s="24" t="s">
        <v>209</v>
      </c>
      <c r="N7" s="24">
        <v>698.59100000000001</v>
      </c>
      <c r="O7" s="24" t="s">
        <v>209</v>
      </c>
      <c r="P7" s="24" t="s">
        <v>209</v>
      </c>
      <c r="Q7" s="24">
        <v>695.59100000000001</v>
      </c>
      <c r="R7" s="24" t="s">
        <v>209</v>
      </c>
      <c r="S7" s="24" t="s">
        <v>209</v>
      </c>
      <c r="T7" s="24" t="s">
        <v>209</v>
      </c>
      <c r="U7" s="24" t="s">
        <v>209</v>
      </c>
      <c r="V7" s="24" t="s">
        <v>209</v>
      </c>
      <c r="W7" s="24">
        <v>570.24800000000005</v>
      </c>
      <c r="X7" s="24">
        <v>4</v>
      </c>
      <c r="Y7" s="24" t="s">
        <v>210</v>
      </c>
      <c r="Z7" s="24" t="s">
        <v>211</v>
      </c>
      <c r="AA7" s="24" t="s">
        <v>209</v>
      </c>
      <c r="AB7" s="24" t="s">
        <v>122</v>
      </c>
    </row>
    <row r="8" spans="1:28" ht="20.100000000000001" customHeight="1">
      <c r="B8" s="24" t="s">
        <v>202</v>
      </c>
      <c r="C8" s="24" t="s">
        <v>181</v>
      </c>
      <c r="D8" s="24" t="s">
        <v>204</v>
      </c>
      <c r="E8" s="24">
        <v>3</v>
      </c>
      <c r="F8" s="24">
        <v>1</v>
      </c>
      <c r="G8" s="24" t="s">
        <v>212</v>
      </c>
      <c r="H8" s="24" t="s">
        <v>70</v>
      </c>
      <c r="I8" s="26" t="s">
        <v>82</v>
      </c>
      <c r="J8" s="24" t="s">
        <v>213</v>
      </c>
      <c r="K8" s="24">
        <v>584.24</v>
      </c>
      <c r="L8" s="24" t="s">
        <v>209</v>
      </c>
      <c r="M8" s="24" t="s">
        <v>209</v>
      </c>
      <c r="N8" s="24">
        <v>631.351</v>
      </c>
      <c r="O8" s="24" t="s">
        <v>209</v>
      </c>
      <c r="P8" s="24" t="s">
        <v>209</v>
      </c>
      <c r="Q8" s="24">
        <v>628.351</v>
      </c>
      <c r="R8" s="24" t="s">
        <v>209</v>
      </c>
      <c r="S8" s="24" t="s">
        <v>209</v>
      </c>
      <c r="T8" s="24" t="s">
        <v>209</v>
      </c>
      <c r="U8" s="24" t="s">
        <v>209</v>
      </c>
      <c r="V8" s="24" t="s">
        <v>209</v>
      </c>
      <c r="W8" s="24" t="s">
        <v>17</v>
      </c>
      <c r="X8" s="24">
        <v>4</v>
      </c>
      <c r="Y8" s="24" t="s">
        <v>210</v>
      </c>
      <c r="Z8" s="24" t="s">
        <v>79</v>
      </c>
      <c r="AA8" s="24" t="s">
        <v>209</v>
      </c>
      <c r="AB8" s="24" t="str">
        <f t="shared" ref="AB8:AB9" si="0">IF(LEFT(G8,1)="2","FV靶",IF(LEFT(G8,1)="R","靶距邊","靶孔"))</f>
        <v>靶孔</v>
      </c>
    </row>
    <row r="9" spans="1:28" ht="20.100000000000001" customHeight="1">
      <c r="B9" s="24" t="s">
        <v>202</v>
      </c>
      <c r="C9" s="24" t="s">
        <v>181</v>
      </c>
      <c r="D9" s="24" t="s">
        <v>204</v>
      </c>
      <c r="E9" s="24">
        <v>4</v>
      </c>
      <c r="F9" s="24">
        <v>1</v>
      </c>
      <c r="G9" s="24" t="s">
        <v>214</v>
      </c>
      <c r="H9" s="24" t="s">
        <v>70</v>
      </c>
      <c r="I9" s="26" t="s">
        <v>82</v>
      </c>
      <c r="J9" s="24" t="s">
        <v>213</v>
      </c>
      <c r="K9" s="24">
        <v>570.24</v>
      </c>
      <c r="L9" s="24" t="s">
        <v>209</v>
      </c>
      <c r="M9" s="24" t="s">
        <v>209</v>
      </c>
      <c r="N9" s="24">
        <v>434.36700000000002</v>
      </c>
      <c r="O9" s="24" t="s">
        <v>209</v>
      </c>
      <c r="P9" s="24" t="s">
        <v>209</v>
      </c>
      <c r="Q9" s="24">
        <v>431.36700000000002</v>
      </c>
      <c r="R9" s="24" t="s">
        <v>209</v>
      </c>
      <c r="S9" s="24" t="s">
        <v>209</v>
      </c>
      <c r="T9" s="24" t="s">
        <v>209</v>
      </c>
      <c r="U9" s="24" t="s">
        <v>209</v>
      </c>
      <c r="V9" s="24" t="s">
        <v>209</v>
      </c>
      <c r="W9" s="24" t="s">
        <v>17</v>
      </c>
      <c r="X9" s="24">
        <v>4</v>
      </c>
      <c r="Y9" s="24" t="s">
        <v>210</v>
      </c>
      <c r="Z9" s="24" t="s">
        <v>79</v>
      </c>
      <c r="AA9" s="24">
        <v>2</v>
      </c>
      <c r="AB9" s="24" t="str">
        <f t="shared" si="0"/>
        <v>FV靶</v>
      </c>
    </row>
    <row r="10" spans="1:28" ht="20.100000000000001" hidden="1" customHeight="1">
      <c r="B10" s="24" t="s">
        <v>202</v>
      </c>
      <c r="C10" s="24" t="s">
        <v>203</v>
      </c>
      <c r="D10" s="24" t="s">
        <v>204</v>
      </c>
      <c r="E10" s="24">
        <v>5</v>
      </c>
      <c r="F10" s="24">
        <v>2</v>
      </c>
      <c r="G10" s="24" t="s">
        <v>215</v>
      </c>
      <c r="H10" s="24" t="s">
        <v>206</v>
      </c>
      <c r="I10" s="26" t="s">
        <v>216</v>
      </c>
      <c r="J10" s="24" t="s">
        <v>217</v>
      </c>
      <c r="K10" s="24">
        <v>570.24</v>
      </c>
      <c r="L10" s="24" t="s">
        <v>209</v>
      </c>
      <c r="M10" s="24" t="s">
        <v>209</v>
      </c>
      <c r="N10" s="24">
        <v>586.47</v>
      </c>
      <c r="O10" s="24" t="s">
        <v>209</v>
      </c>
      <c r="P10" s="24" t="s">
        <v>209</v>
      </c>
      <c r="Q10" s="24">
        <v>583.47</v>
      </c>
      <c r="R10" s="24" t="s">
        <v>209</v>
      </c>
      <c r="S10" s="24" t="s">
        <v>209</v>
      </c>
      <c r="T10" s="24" t="s">
        <v>209</v>
      </c>
      <c r="U10" s="24" t="s">
        <v>209</v>
      </c>
      <c r="V10" s="24" t="s">
        <v>209</v>
      </c>
      <c r="W10" s="24" t="s">
        <v>209</v>
      </c>
      <c r="X10" s="24">
        <v>4</v>
      </c>
      <c r="Y10" s="24" t="s">
        <v>210</v>
      </c>
      <c r="Z10" s="24" t="s">
        <v>218</v>
      </c>
      <c r="AA10" s="24" t="s">
        <v>209</v>
      </c>
      <c r="AB10" s="24" t="s">
        <v>123</v>
      </c>
    </row>
    <row r="11" spans="1:28" ht="20.100000000000001" hidden="1" customHeight="1">
      <c r="B11" s="24" t="s">
        <v>202</v>
      </c>
      <c r="C11" s="24" t="s">
        <v>203</v>
      </c>
      <c r="D11" s="24" t="s">
        <v>204</v>
      </c>
      <c r="E11" s="24">
        <v>6</v>
      </c>
      <c r="F11" s="24">
        <v>2</v>
      </c>
      <c r="G11" s="24" t="s">
        <v>219</v>
      </c>
      <c r="H11" s="24" t="s">
        <v>206</v>
      </c>
      <c r="I11" s="26" t="s">
        <v>216</v>
      </c>
      <c r="J11" s="24" t="s">
        <v>217</v>
      </c>
      <c r="K11" s="24">
        <v>570.24</v>
      </c>
      <c r="L11" s="24" t="s">
        <v>209</v>
      </c>
      <c r="M11" s="24" t="s">
        <v>209</v>
      </c>
      <c r="N11" s="24">
        <v>446.36700000000002</v>
      </c>
      <c r="O11" s="24" t="s">
        <v>209</v>
      </c>
      <c r="P11" s="24" t="s">
        <v>209</v>
      </c>
      <c r="Q11" s="24">
        <v>443.36700000000002</v>
      </c>
      <c r="R11" s="24" t="s">
        <v>209</v>
      </c>
      <c r="S11" s="24" t="s">
        <v>209</v>
      </c>
      <c r="T11" s="24" t="s">
        <v>209</v>
      </c>
      <c r="U11" s="24" t="s">
        <v>209</v>
      </c>
      <c r="V11" s="24" t="s">
        <v>209</v>
      </c>
      <c r="W11" s="24" t="s">
        <v>209</v>
      </c>
      <c r="X11" s="24">
        <v>4</v>
      </c>
      <c r="Y11" s="24" t="s">
        <v>210</v>
      </c>
      <c r="Z11" s="24" t="s">
        <v>218</v>
      </c>
      <c r="AA11" s="24">
        <v>2</v>
      </c>
      <c r="AB11" s="24" t="s">
        <v>124</v>
      </c>
    </row>
    <row r="12" spans="1:28" ht="20.100000000000001" hidden="1" customHeight="1">
      <c r="B12" s="24" t="s">
        <v>202</v>
      </c>
      <c r="C12" s="24" t="s">
        <v>203</v>
      </c>
      <c r="D12" s="24" t="s">
        <v>204</v>
      </c>
      <c r="E12" s="24">
        <v>7</v>
      </c>
      <c r="F12" s="24">
        <v>4</v>
      </c>
      <c r="G12" s="24" t="s">
        <v>220</v>
      </c>
      <c r="H12" s="24" t="s">
        <v>206</v>
      </c>
      <c r="I12" s="26" t="s">
        <v>207</v>
      </c>
      <c r="J12" s="24" t="s">
        <v>208</v>
      </c>
      <c r="K12" s="24">
        <v>15.712</v>
      </c>
      <c r="L12" s="24" t="s">
        <v>209</v>
      </c>
      <c r="M12" s="24" t="s">
        <v>209</v>
      </c>
      <c r="N12" s="24">
        <v>15.712</v>
      </c>
      <c r="O12" s="24" t="s">
        <v>209</v>
      </c>
      <c r="P12" s="24" t="s">
        <v>209</v>
      </c>
      <c r="Q12" s="24">
        <v>89.147000000000006</v>
      </c>
      <c r="R12" s="24" t="s">
        <v>209</v>
      </c>
      <c r="S12" s="24" t="s">
        <v>209</v>
      </c>
      <c r="T12" s="24" t="s">
        <v>209</v>
      </c>
      <c r="U12" s="24" t="s">
        <v>209</v>
      </c>
      <c r="V12" s="24" t="s">
        <v>209</v>
      </c>
      <c r="W12" s="24">
        <v>86.147000000000006</v>
      </c>
      <c r="X12" s="24">
        <v>4</v>
      </c>
      <c r="Y12" s="24" t="s">
        <v>210</v>
      </c>
      <c r="Z12" s="24" t="s">
        <v>211</v>
      </c>
      <c r="AA12" s="24" t="s">
        <v>209</v>
      </c>
      <c r="AB12" s="24" t="s">
        <v>123</v>
      </c>
    </row>
    <row r="13" spans="1:28" ht="20.100000000000001" hidden="1" customHeight="1">
      <c r="B13" s="24" t="s">
        <v>202</v>
      </c>
      <c r="C13" s="24" t="s">
        <v>203</v>
      </c>
      <c r="D13" s="24" t="s">
        <v>204</v>
      </c>
      <c r="E13" s="24">
        <v>8</v>
      </c>
      <c r="F13" s="24">
        <v>3</v>
      </c>
      <c r="G13" s="24" t="s">
        <v>221</v>
      </c>
      <c r="H13" s="24" t="s">
        <v>206</v>
      </c>
      <c r="I13" s="26" t="s">
        <v>222</v>
      </c>
      <c r="J13" s="24" t="s">
        <v>223</v>
      </c>
      <c r="K13" s="24">
        <v>570.24</v>
      </c>
      <c r="L13" s="24" t="s">
        <v>209</v>
      </c>
      <c r="M13" s="24" t="s">
        <v>209</v>
      </c>
      <c r="N13" s="24">
        <v>458.36700000000002</v>
      </c>
      <c r="O13" s="24" t="s">
        <v>209</v>
      </c>
      <c r="P13" s="24" t="s">
        <v>209</v>
      </c>
      <c r="Q13" s="24">
        <v>455.36700000000002</v>
      </c>
      <c r="R13" s="24" t="s">
        <v>209</v>
      </c>
      <c r="S13" s="24" t="s">
        <v>209</v>
      </c>
      <c r="T13" s="24" t="s">
        <v>209</v>
      </c>
      <c r="U13" s="24" t="s">
        <v>209</v>
      </c>
      <c r="V13" s="24" t="s">
        <v>209</v>
      </c>
      <c r="W13" s="24" t="s">
        <v>209</v>
      </c>
      <c r="X13" s="24">
        <v>4</v>
      </c>
      <c r="Y13" s="24" t="s">
        <v>210</v>
      </c>
      <c r="Z13" s="24" t="s">
        <v>224</v>
      </c>
      <c r="AA13" s="24">
        <v>2</v>
      </c>
      <c r="AB13" s="24" t="s">
        <v>124</v>
      </c>
    </row>
    <row r="14" spans="1:28" ht="20.100000000000001" hidden="1" customHeight="1">
      <c r="B14" s="24" t="s">
        <v>202</v>
      </c>
      <c r="C14" s="24" t="s">
        <v>203</v>
      </c>
      <c r="D14" s="24" t="s">
        <v>204</v>
      </c>
      <c r="E14" s="24">
        <v>9</v>
      </c>
      <c r="F14" s="24">
        <v>4</v>
      </c>
      <c r="G14" s="24" t="s">
        <v>225</v>
      </c>
      <c r="H14" s="24" t="s">
        <v>206</v>
      </c>
      <c r="I14" s="26" t="s">
        <v>207</v>
      </c>
      <c r="J14" s="24" t="s">
        <v>208</v>
      </c>
      <c r="K14" s="24">
        <v>575.84</v>
      </c>
      <c r="L14" s="24" t="s">
        <v>209</v>
      </c>
      <c r="M14" s="24" t="s">
        <v>209</v>
      </c>
      <c r="N14" s="24">
        <v>622.47</v>
      </c>
      <c r="O14" s="24" t="s">
        <v>209</v>
      </c>
      <c r="P14" s="24" t="s">
        <v>209</v>
      </c>
      <c r="Q14" s="24">
        <v>619.47</v>
      </c>
      <c r="R14" s="24" t="s">
        <v>209</v>
      </c>
      <c r="S14" s="24" t="s">
        <v>209</v>
      </c>
      <c r="T14" s="24" t="s">
        <v>209</v>
      </c>
      <c r="U14" s="24" t="s">
        <v>209</v>
      </c>
      <c r="V14" s="24" t="s">
        <v>209</v>
      </c>
      <c r="W14" s="24" t="s">
        <v>209</v>
      </c>
      <c r="X14" s="24">
        <v>4</v>
      </c>
      <c r="Y14" s="24" t="s">
        <v>210</v>
      </c>
      <c r="Z14" s="24" t="s">
        <v>211</v>
      </c>
      <c r="AA14" s="24" t="s">
        <v>209</v>
      </c>
      <c r="AB14" s="24" t="s">
        <v>123</v>
      </c>
    </row>
    <row r="15" spans="1:28" ht="20.100000000000001" hidden="1" customHeight="1">
      <c r="B15" s="24" t="s">
        <v>202</v>
      </c>
      <c r="C15" s="24" t="s">
        <v>203</v>
      </c>
      <c r="D15" s="24" t="s">
        <v>204</v>
      </c>
      <c r="E15" s="24">
        <v>10</v>
      </c>
      <c r="F15" s="24">
        <v>4</v>
      </c>
      <c r="G15" s="24" t="s">
        <v>226</v>
      </c>
      <c r="H15" s="24" t="s">
        <v>206</v>
      </c>
      <c r="I15" s="26" t="s">
        <v>207</v>
      </c>
      <c r="J15" s="24" t="s">
        <v>208</v>
      </c>
      <c r="K15" s="24">
        <v>584.24</v>
      </c>
      <c r="L15" s="24" t="s">
        <v>209</v>
      </c>
      <c r="M15" s="24" t="s">
        <v>209</v>
      </c>
      <c r="N15" s="24">
        <v>470.36700000000002</v>
      </c>
      <c r="O15" s="24" t="s">
        <v>209</v>
      </c>
      <c r="P15" s="24" t="s">
        <v>209</v>
      </c>
      <c r="Q15" s="24">
        <v>467.36700000000002</v>
      </c>
      <c r="R15" s="24" t="s">
        <v>209</v>
      </c>
      <c r="S15" s="24" t="s">
        <v>209</v>
      </c>
      <c r="T15" s="24" t="s">
        <v>209</v>
      </c>
      <c r="U15" s="24" t="s">
        <v>209</v>
      </c>
      <c r="V15" s="24" t="s">
        <v>209</v>
      </c>
      <c r="W15" s="24" t="s">
        <v>209</v>
      </c>
      <c r="X15" s="24">
        <v>4</v>
      </c>
      <c r="Y15" s="24" t="s">
        <v>210</v>
      </c>
      <c r="Z15" s="24" t="s">
        <v>211</v>
      </c>
      <c r="AA15" s="24">
        <v>2</v>
      </c>
      <c r="AB15" s="24" t="s">
        <v>124</v>
      </c>
    </row>
    <row r="16" spans="1:28" ht="20.100000000000001" hidden="1" customHeight="1">
      <c r="B16" s="24" t="s">
        <v>202</v>
      </c>
      <c r="C16" s="24" t="s">
        <v>203</v>
      </c>
      <c r="D16" s="24" t="s">
        <v>204</v>
      </c>
      <c r="E16" s="24">
        <v>11</v>
      </c>
      <c r="F16" s="24">
        <v>1</v>
      </c>
      <c r="G16" s="24" t="s">
        <v>227</v>
      </c>
      <c r="H16" s="24" t="s">
        <v>206</v>
      </c>
      <c r="I16" s="26" t="s">
        <v>228</v>
      </c>
      <c r="J16" s="24" t="s">
        <v>229</v>
      </c>
      <c r="K16" s="24">
        <v>15.321999999999999</v>
      </c>
      <c r="L16" s="24" t="s">
        <v>209</v>
      </c>
      <c r="M16" s="24" t="s">
        <v>209</v>
      </c>
      <c r="N16" s="24">
        <v>15.321999999999999</v>
      </c>
      <c r="O16" s="24" t="s">
        <v>209</v>
      </c>
      <c r="P16" s="24" t="s">
        <v>209</v>
      </c>
      <c r="Q16" s="24">
        <v>88.516000000000005</v>
      </c>
      <c r="R16" s="24" t="s">
        <v>209</v>
      </c>
      <c r="S16" s="24" t="s">
        <v>209</v>
      </c>
      <c r="T16" s="24" t="s">
        <v>209</v>
      </c>
      <c r="U16" s="24" t="s">
        <v>209</v>
      </c>
      <c r="V16" s="24" t="s">
        <v>209</v>
      </c>
      <c r="W16" s="24">
        <v>85.516000000000005</v>
      </c>
      <c r="X16" s="24">
        <v>4</v>
      </c>
      <c r="Y16" s="24" t="s">
        <v>210</v>
      </c>
      <c r="Z16" s="24" t="s">
        <v>230</v>
      </c>
      <c r="AA16" s="24" t="s">
        <v>209</v>
      </c>
      <c r="AB16" s="24" t="s">
        <v>123</v>
      </c>
    </row>
    <row r="17" spans="2:28" ht="20.100000000000001" hidden="1" customHeight="1">
      <c r="B17" s="24" t="s">
        <v>202</v>
      </c>
      <c r="C17" s="24" t="s">
        <v>203</v>
      </c>
      <c r="D17" s="24" t="s">
        <v>204</v>
      </c>
      <c r="E17" s="24">
        <v>12</v>
      </c>
      <c r="F17" s="24">
        <v>2</v>
      </c>
      <c r="G17" s="24" t="s">
        <v>231</v>
      </c>
      <c r="H17" s="24" t="s">
        <v>206</v>
      </c>
      <c r="I17" s="26" t="s">
        <v>216</v>
      </c>
      <c r="J17" s="24" t="s">
        <v>217</v>
      </c>
      <c r="K17" s="24">
        <v>21.052</v>
      </c>
      <c r="L17" s="24" t="s">
        <v>209</v>
      </c>
      <c r="M17" s="24" t="s">
        <v>209</v>
      </c>
      <c r="N17" s="24">
        <v>21.052</v>
      </c>
      <c r="O17" s="24" t="s">
        <v>209</v>
      </c>
      <c r="P17" s="24" t="s">
        <v>209</v>
      </c>
      <c r="Q17" s="24">
        <v>109.687</v>
      </c>
      <c r="R17" s="24" t="s">
        <v>209</v>
      </c>
      <c r="S17" s="24" t="s">
        <v>209</v>
      </c>
      <c r="T17" s="24" t="s">
        <v>209</v>
      </c>
      <c r="U17" s="24" t="s">
        <v>209</v>
      </c>
      <c r="V17" s="24" t="s">
        <v>209</v>
      </c>
      <c r="W17" s="24">
        <v>106.687</v>
      </c>
      <c r="X17" s="24">
        <v>4</v>
      </c>
      <c r="Y17" s="24" t="s">
        <v>210</v>
      </c>
      <c r="Z17" s="24" t="s">
        <v>218</v>
      </c>
      <c r="AA17" s="24" t="s">
        <v>17</v>
      </c>
      <c r="AB17" s="24" t="s">
        <v>124</v>
      </c>
    </row>
    <row r="18" spans="2:28" ht="20.100000000000001" customHeight="1">
      <c r="B18" s="24" t="s">
        <v>202</v>
      </c>
      <c r="C18" s="24" t="s">
        <v>181</v>
      </c>
      <c r="D18" s="24" t="s">
        <v>204</v>
      </c>
      <c r="E18" s="24">
        <v>13</v>
      </c>
      <c r="F18" s="24">
        <v>3</v>
      </c>
      <c r="G18" s="24" t="s">
        <v>232</v>
      </c>
      <c r="H18" s="24" t="s">
        <v>70</v>
      </c>
      <c r="I18" s="26" t="s">
        <v>92</v>
      </c>
      <c r="J18" s="24" t="s">
        <v>83</v>
      </c>
      <c r="K18" s="24">
        <v>19.782</v>
      </c>
      <c r="L18" s="24" t="s">
        <v>209</v>
      </c>
      <c r="M18" s="24" t="s">
        <v>209</v>
      </c>
      <c r="N18" s="24">
        <v>19.782</v>
      </c>
      <c r="O18" s="24" t="s">
        <v>209</v>
      </c>
      <c r="P18" s="24" t="s">
        <v>209</v>
      </c>
      <c r="Q18" s="24">
        <v>99.417000000000002</v>
      </c>
      <c r="R18" s="24" t="s">
        <v>209</v>
      </c>
      <c r="S18" s="24" t="s">
        <v>209</v>
      </c>
      <c r="T18" s="24" t="s">
        <v>209</v>
      </c>
      <c r="U18" s="24" t="s">
        <v>209</v>
      </c>
      <c r="V18" s="24" t="s">
        <v>209</v>
      </c>
      <c r="W18" s="24">
        <v>96.417000000000002</v>
      </c>
      <c r="X18" s="24">
        <v>4</v>
      </c>
      <c r="Y18" s="24" t="s">
        <v>210</v>
      </c>
      <c r="Z18" s="24" t="s">
        <v>89</v>
      </c>
      <c r="AA18" s="24" t="s">
        <v>209</v>
      </c>
      <c r="AB18" s="24" t="str">
        <f>IF(LEFT(G18,1)="2","FV靶",IF(LEFT(G18,1)="R","靶距邊","靶孔"))</f>
        <v>靶距邊</v>
      </c>
    </row>
    <row r="19" spans="2:28" ht="20.100000000000001" hidden="1" customHeight="1">
      <c r="B19" s="24" t="s">
        <v>202</v>
      </c>
      <c r="C19" s="24" t="s">
        <v>203</v>
      </c>
      <c r="D19" s="24" t="s">
        <v>204</v>
      </c>
      <c r="E19" s="24">
        <v>14</v>
      </c>
      <c r="F19" s="24">
        <v>3</v>
      </c>
      <c r="G19" s="24" t="s">
        <v>233</v>
      </c>
      <c r="H19" s="24" t="s">
        <v>206</v>
      </c>
      <c r="I19" s="26" t="s">
        <v>222</v>
      </c>
      <c r="J19" s="24" t="s">
        <v>223</v>
      </c>
      <c r="K19" s="24">
        <v>570.24</v>
      </c>
      <c r="L19" s="24" t="s">
        <v>209</v>
      </c>
      <c r="M19" s="24" t="s">
        <v>209</v>
      </c>
      <c r="N19" s="24">
        <v>604.47</v>
      </c>
      <c r="O19" s="24" t="s">
        <v>209</v>
      </c>
      <c r="P19" s="24" t="s">
        <v>209</v>
      </c>
      <c r="Q19" s="24">
        <v>601.47</v>
      </c>
      <c r="R19" s="24" t="s">
        <v>209</v>
      </c>
      <c r="S19" s="24" t="s">
        <v>209</v>
      </c>
      <c r="T19" s="24" t="s">
        <v>209</v>
      </c>
      <c r="U19" s="24" t="s">
        <v>209</v>
      </c>
      <c r="V19" s="24" t="s">
        <v>209</v>
      </c>
      <c r="W19" s="24" t="s">
        <v>17</v>
      </c>
      <c r="X19" s="24">
        <v>4</v>
      </c>
      <c r="Y19" s="24" t="s">
        <v>210</v>
      </c>
      <c r="Z19" s="24" t="s">
        <v>224</v>
      </c>
      <c r="AA19" s="24" t="s">
        <v>209</v>
      </c>
      <c r="AB19" s="24" t="s">
        <v>122</v>
      </c>
    </row>
    <row r="20" spans="2:28" ht="20.100000000000001" hidden="1" customHeight="1">
      <c r="B20" s="24" t="s">
        <v>202</v>
      </c>
      <c r="C20" s="24" t="s">
        <v>203</v>
      </c>
      <c r="D20" s="24" t="s">
        <v>204</v>
      </c>
      <c r="E20" s="24">
        <v>1</v>
      </c>
      <c r="F20" s="24">
        <v>4</v>
      </c>
      <c r="G20" s="24" t="s">
        <v>234</v>
      </c>
      <c r="H20" s="24" t="s">
        <v>206</v>
      </c>
      <c r="I20" s="26" t="s">
        <v>207</v>
      </c>
      <c r="J20" s="24" t="s">
        <v>208</v>
      </c>
      <c r="K20" s="24">
        <v>570.24</v>
      </c>
      <c r="L20" s="24" t="s">
        <v>209</v>
      </c>
      <c r="M20" s="24" t="s">
        <v>209</v>
      </c>
      <c r="N20" s="24">
        <v>672.05100000000004</v>
      </c>
      <c r="O20" s="24" t="s">
        <v>209</v>
      </c>
      <c r="P20" s="24" t="s">
        <v>209</v>
      </c>
      <c r="Q20" s="24">
        <v>669.05100000000004</v>
      </c>
      <c r="R20" s="24" t="s">
        <v>209</v>
      </c>
      <c r="S20" s="24" t="s">
        <v>209</v>
      </c>
      <c r="T20" s="24" t="s">
        <v>209</v>
      </c>
      <c r="U20" s="24" t="s">
        <v>209</v>
      </c>
      <c r="V20" s="24" t="s">
        <v>209</v>
      </c>
      <c r="W20" s="24">
        <v>570.24800000000005</v>
      </c>
      <c r="X20" s="24">
        <v>4</v>
      </c>
      <c r="Y20" s="24" t="s">
        <v>210</v>
      </c>
      <c r="Z20" s="24" t="s">
        <v>211</v>
      </c>
      <c r="AA20" s="24" t="s">
        <v>235</v>
      </c>
      <c r="AB20" s="24" t="s">
        <v>122</v>
      </c>
    </row>
    <row r="21" spans="2:28" ht="20.100000000000001" hidden="1" customHeight="1">
      <c r="B21" s="24" t="s">
        <v>66</v>
      </c>
      <c r="C21" s="24" t="s">
        <v>67</v>
      </c>
      <c r="D21" s="24" t="s">
        <v>68</v>
      </c>
      <c r="E21" s="24">
        <v>16</v>
      </c>
      <c r="F21" s="24">
        <v>4</v>
      </c>
      <c r="G21" s="24" t="s">
        <v>101</v>
      </c>
      <c r="H21" s="24" t="s">
        <v>70</v>
      </c>
      <c r="I21" s="26" t="s">
        <v>92</v>
      </c>
      <c r="J21" s="24" t="s">
        <v>93</v>
      </c>
      <c r="K21" s="24">
        <v>13.747</v>
      </c>
      <c r="L21" s="24" t="s">
        <v>17</v>
      </c>
      <c r="M21" s="24" t="s">
        <v>17</v>
      </c>
      <c r="N21" s="24">
        <v>13.747</v>
      </c>
      <c r="O21" s="24" t="s">
        <v>17</v>
      </c>
      <c r="P21" s="24" t="s">
        <v>17</v>
      </c>
      <c r="Q21" s="24">
        <v>85.549000000000007</v>
      </c>
      <c r="R21" s="24" t="s">
        <v>17</v>
      </c>
      <c r="S21" s="24" t="s">
        <v>17</v>
      </c>
      <c r="T21" s="24" t="s">
        <v>17</v>
      </c>
      <c r="U21" s="24" t="s">
        <v>17</v>
      </c>
      <c r="V21" s="24" t="s">
        <v>17</v>
      </c>
      <c r="W21" s="24">
        <v>82.549000000000007</v>
      </c>
      <c r="X21" s="24">
        <v>4</v>
      </c>
      <c r="Y21" s="24" t="s">
        <v>73</v>
      </c>
      <c r="Z21" s="24" t="s">
        <v>94</v>
      </c>
      <c r="AA21" s="24" t="s">
        <v>17</v>
      </c>
      <c r="AB21" s="24" t="s">
        <v>122</v>
      </c>
    </row>
    <row r="22" spans="2:28" ht="20.100000000000001" hidden="1" customHeight="1">
      <c r="B22" s="24" t="s">
        <v>66</v>
      </c>
      <c r="C22" s="24" t="s">
        <v>67</v>
      </c>
      <c r="D22" s="24" t="s">
        <v>68</v>
      </c>
      <c r="E22" s="24">
        <v>17</v>
      </c>
      <c r="F22" s="24">
        <v>5</v>
      </c>
      <c r="G22" s="24" t="s">
        <v>102</v>
      </c>
      <c r="H22" s="24" t="s">
        <v>70</v>
      </c>
      <c r="I22" s="26" t="s">
        <v>71</v>
      </c>
      <c r="J22" s="24" t="s">
        <v>72</v>
      </c>
      <c r="K22" s="24">
        <v>589.928</v>
      </c>
      <c r="L22" s="24" t="s">
        <v>17</v>
      </c>
      <c r="M22" s="24" t="s">
        <v>17</v>
      </c>
      <c r="N22" s="24">
        <v>698.16600000000005</v>
      </c>
      <c r="O22" s="24" t="s">
        <v>17</v>
      </c>
      <c r="P22" s="24" t="s">
        <v>17</v>
      </c>
      <c r="Q22" s="24">
        <v>695.16600000000005</v>
      </c>
      <c r="R22" s="24" t="s">
        <v>17</v>
      </c>
      <c r="S22" s="24" t="s">
        <v>17</v>
      </c>
      <c r="T22" s="24" t="s">
        <v>17</v>
      </c>
      <c r="U22" s="24" t="s">
        <v>17</v>
      </c>
      <c r="V22" s="24" t="s">
        <v>17</v>
      </c>
      <c r="W22" s="24">
        <v>589.93600000000004</v>
      </c>
      <c r="X22" s="24">
        <v>4</v>
      </c>
      <c r="Y22" s="24" t="s">
        <v>73</v>
      </c>
      <c r="Z22" s="24" t="s">
        <v>74</v>
      </c>
      <c r="AA22" s="24" t="s">
        <v>116</v>
      </c>
      <c r="AB22" s="24" t="s">
        <v>123</v>
      </c>
    </row>
  </sheetData>
  <autoFilter ref="A5:AB22">
    <filterColumn colId="8" showButton="0"/>
    <filterColumn colId="25">
      <filters>
        <filter val="IN2"/>
      </filters>
    </filterColumn>
  </autoFilter>
  <mergeCells count="2">
    <mergeCell ref="C3:G3"/>
    <mergeCell ref="I5:J5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AA21"/>
  <sheetViews>
    <sheetView showGridLines="0" workbookViewId="0">
      <selection activeCell="F74" sqref="F74"/>
    </sheetView>
  </sheetViews>
  <sheetFormatPr defaultRowHeight="16.2"/>
  <cols>
    <col min="2" max="2" width="11" hidden="1" customWidth="1"/>
    <col min="3" max="3" width="9.21875" bestFit="1" customWidth="1"/>
    <col min="4" max="4" width="8.77734375" hidden="1" customWidth="1"/>
    <col min="5" max="5" width="0" hidden="1" customWidth="1"/>
    <col min="6" max="6" width="10.44140625" hidden="1" customWidth="1"/>
    <col min="7" max="7" width="11" bestFit="1" customWidth="1"/>
    <col min="8" max="8" width="6.77734375" bestFit="1" customWidth="1"/>
    <col min="9" max="11" width="10" bestFit="1" customWidth="1"/>
    <col min="12" max="13" width="11.21875" hidden="1" customWidth="1"/>
    <col min="14" max="14" width="10.109375" bestFit="1" customWidth="1"/>
    <col min="15" max="16" width="10.88671875" hidden="1" customWidth="1"/>
    <col min="17" max="17" width="10.88671875" bestFit="1" customWidth="1"/>
    <col min="18" max="20" width="10.88671875" hidden="1" customWidth="1"/>
    <col min="21" max="21" width="11.33203125" hidden="1" customWidth="1"/>
    <col min="22" max="22" width="11.21875" hidden="1" customWidth="1"/>
    <col min="23" max="24" width="10.77734375" bestFit="1" customWidth="1"/>
    <col min="25" max="25" width="9.33203125" bestFit="1" customWidth="1"/>
    <col min="26" max="26" width="10.109375" bestFit="1" customWidth="1"/>
    <col min="27" max="27" width="10.33203125" bestFit="1" customWidth="1"/>
  </cols>
  <sheetData>
    <row r="1" spans="2:27">
      <c r="C1" t="s">
        <v>104</v>
      </c>
      <c r="G1" t="s">
        <v>105</v>
      </c>
      <c r="H1" t="s">
        <v>106</v>
      </c>
      <c r="I1" t="s">
        <v>107</v>
      </c>
      <c r="K1" t="s">
        <v>108</v>
      </c>
      <c r="N1" t="s">
        <v>109</v>
      </c>
      <c r="Q1" t="s">
        <v>110</v>
      </c>
      <c r="W1" t="s">
        <v>112</v>
      </c>
      <c r="X1" t="s">
        <v>111</v>
      </c>
      <c r="Z1" t="s">
        <v>107</v>
      </c>
    </row>
    <row r="2" spans="2:27">
      <c r="Q2" t="s">
        <v>113</v>
      </c>
      <c r="W2" t="s">
        <v>114</v>
      </c>
    </row>
    <row r="3" spans="2:27" ht="21.6">
      <c r="B3" s="21" t="s">
        <v>40</v>
      </c>
      <c r="C3" s="21" t="s">
        <v>41</v>
      </c>
      <c r="D3" s="21" t="s">
        <v>42</v>
      </c>
      <c r="E3" s="21" t="s">
        <v>43</v>
      </c>
      <c r="F3" s="21" t="s">
        <v>44</v>
      </c>
      <c r="G3" s="21" t="s">
        <v>45</v>
      </c>
      <c r="H3" s="21" t="s">
        <v>46</v>
      </c>
      <c r="I3" s="21" t="s">
        <v>47</v>
      </c>
      <c r="J3" s="21" t="s">
        <v>48</v>
      </c>
      <c r="K3" s="21" t="s">
        <v>49</v>
      </c>
      <c r="L3" s="21" t="s">
        <v>50</v>
      </c>
      <c r="M3" s="21" t="s">
        <v>51</v>
      </c>
      <c r="N3" s="21" t="s">
        <v>52</v>
      </c>
      <c r="O3" s="21" t="s">
        <v>53</v>
      </c>
      <c r="P3" s="21" t="s">
        <v>54</v>
      </c>
      <c r="Q3" s="21" t="s">
        <v>55</v>
      </c>
      <c r="R3" s="21" t="s">
        <v>56</v>
      </c>
      <c r="S3" s="21" t="s">
        <v>57</v>
      </c>
      <c r="T3" s="21" t="s">
        <v>58</v>
      </c>
      <c r="U3" s="21" t="s">
        <v>59</v>
      </c>
      <c r="V3" s="21" t="s">
        <v>60</v>
      </c>
      <c r="W3" s="21" t="s">
        <v>61</v>
      </c>
      <c r="X3" s="21" t="s">
        <v>62</v>
      </c>
      <c r="Y3" s="21" t="s">
        <v>63</v>
      </c>
      <c r="Z3" s="21" t="s">
        <v>64</v>
      </c>
      <c r="AA3" s="21" t="s">
        <v>65</v>
      </c>
    </row>
    <row r="4" spans="2:27" ht="54">
      <c r="B4" s="22" t="s">
        <v>66</v>
      </c>
      <c r="C4" s="22" t="s">
        <v>67</v>
      </c>
      <c r="D4" s="22" t="s">
        <v>68</v>
      </c>
      <c r="E4" s="22">
        <v>1</v>
      </c>
      <c r="F4" s="22">
        <v>5</v>
      </c>
      <c r="G4" s="22" t="s">
        <v>69</v>
      </c>
      <c r="H4" s="22" t="s">
        <v>70</v>
      </c>
      <c r="I4" s="22" t="s">
        <v>71</v>
      </c>
      <c r="J4" s="22" t="s">
        <v>72</v>
      </c>
      <c r="K4" s="22">
        <v>589.928</v>
      </c>
      <c r="L4" s="22"/>
      <c r="M4" s="22"/>
      <c r="N4" s="22">
        <v>671.62599999999998</v>
      </c>
      <c r="O4" s="22"/>
      <c r="P4" s="22"/>
      <c r="Q4" s="22">
        <v>668.62599999999998</v>
      </c>
      <c r="R4" s="22"/>
      <c r="S4" s="22"/>
      <c r="T4" s="22"/>
      <c r="U4" s="22"/>
      <c r="V4" s="22"/>
      <c r="W4" s="22">
        <v>589.93600000000004</v>
      </c>
      <c r="X4" s="22">
        <v>4</v>
      </c>
      <c r="Y4" s="22" t="s">
        <v>73</v>
      </c>
      <c r="Z4" s="22" t="s">
        <v>74</v>
      </c>
      <c r="AA4" s="22"/>
    </row>
    <row r="5" spans="2:27" ht="54">
      <c r="B5" s="22" t="s">
        <v>66</v>
      </c>
      <c r="C5" s="22" t="s">
        <v>67</v>
      </c>
      <c r="D5" s="22" t="s">
        <v>68</v>
      </c>
      <c r="E5" s="22">
        <v>2</v>
      </c>
      <c r="F5" s="22">
        <v>5</v>
      </c>
      <c r="G5" s="22" t="s">
        <v>75</v>
      </c>
      <c r="H5" s="22" t="s">
        <v>70</v>
      </c>
      <c r="I5" s="22" t="s">
        <v>71</v>
      </c>
      <c r="J5" s="22" t="s">
        <v>72</v>
      </c>
      <c r="K5" s="22">
        <v>53.798000000000002</v>
      </c>
      <c r="L5" s="22"/>
      <c r="M5" s="22"/>
      <c r="N5" s="22">
        <v>53.798000000000002</v>
      </c>
      <c r="O5" s="22"/>
      <c r="P5" s="22"/>
      <c r="Q5" s="22">
        <v>20.713999999999999</v>
      </c>
      <c r="R5" s="22"/>
      <c r="S5" s="22"/>
      <c r="T5" s="22"/>
      <c r="U5" s="22"/>
      <c r="V5" s="22"/>
      <c r="W5" s="22">
        <v>20.713999999999999</v>
      </c>
      <c r="X5" s="22">
        <v>4</v>
      </c>
      <c r="Y5" s="22" t="s">
        <v>73</v>
      </c>
      <c r="Z5" s="22" t="s">
        <v>74</v>
      </c>
      <c r="AA5" s="22"/>
    </row>
    <row r="6" spans="2:27" ht="54">
      <c r="B6" s="22" t="s">
        <v>66</v>
      </c>
      <c r="C6" s="22" t="s">
        <v>67</v>
      </c>
      <c r="D6" s="22" t="s">
        <v>68</v>
      </c>
      <c r="E6" s="22">
        <v>3</v>
      </c>
      <c r="F6" s="22">
        <v>1</v>
      </c>
      <c r="G6" s="22" t="s">
        <v>76</v>
      </c>
      <c r="H6" s="22" t="s">
        <v>70</v>
      </c>
      <c r="I6" s="22" t="s">
        <v>77</v>
      </c>
      <c r="J6" s="22" t="s">
        <v>78</v>
      </c>
      <c r="K6" s="22">
        <v>605.72799999999995</v>
      </c>
      <c r="L6" s="22"/>
      <c r="M6" s="22"/>
      <c r="N6" s="22">
        <v>643.62599999999998</v>
      </c>
      <c r="O6" s="22"/>
      <c r="P6" s="22"/>
      <c r="Q6" s="22">
        <v>640.62599999999998</v>
      </c>
      <c r="R6" s="22"/>
      <c r="S6" s="22"/>
      <c r="T6" s="22"/>
      <c r="U6" s="22"/>
      <c r="V6" s="22"/>
      <c r="W6" s="22"/>
      <c r="X6" s="22">
        <v>4</v>
      </c>
      <c r="Y6" s="22" t="s">
        <v>73</v>
      </c>
      <c r="Z6" s="22" t="s">
        <v>79</v>
      </c>
      <c r="AA6" s="22"/>
    </row>
    <row r="7" spans="2:27" ht="54">
      <c r="B7" s="22" t="s">
        <v>66</v>
      </c>
      <c r="C7" s="22" t="s">
        <v>67</v>
      </c>
      <c r="D7" s="22" t="s">
        <v>68</v>
      </c>
      <c r="E7" s="22">
        <v>4</v>
      </c>
      <c r="F7" s="22">
        <v>1</v>
      </c>
      <c r="G7" s="22" t="s">
        <v>80</v>
      </c>
      <c r="H7" s="22" t="s">
        <v>70</v>
      </c>
      <c r="I7" s="22" t="s">
        <v>77</v>
      </c>
      <c r="J7" s="22" t="s">
        <v>78</v>
      </c>
      <c r="K7" s="22">
        <v>589.928</v>
      </c>
      <c r="L7" s="22"/>
      <c r="M7" s="22"/>
      <c r="N7" s="22">
        <v>399.57299999999998</v>
      </c>
      <c r="O7" s="22"/>
      <c r="P7" s="22"/>
      <c r="Q7" s="22">
        <v>396.57299999999998</v>
      </c>
      <c r="R7" s="22"/>
      <c r="S7" s="22"/>
      <c r="T7" s="22"/>
      <c r="U7" s="22"/>
      <c r="V7" s="22"/>
      <c r="W7" s="22"/>
      <c r="X7" s="22">
        <v>4</v>
      </c>
      <c r="Y7" s="22" t="s">
        <v>73</v>
      </c>
      <c r="Z7" s="22" t="s">
        <v>79</v>
      </c>
      <c r="AA7" s="22">
        <v>2</v>
      </c>
    </row>
    <row r="8" spans="2:27" ht="54">
      <c r="B8" s="22" t="s">
        <v>66</v>
      </c>
      <c r="C8" s="22" t="s">
        <v>67</v>
      </c>
      <c r="D8" s="22" t="s">
        <v>68</v>
      </c>
      <c r="E8" s="22">
        <v>5</v>
      </c>
      <c r="F8" s="22">
        <v>2</v>
      </c>
      <c r="G8" s="22" t="s">
        <v>81</v>
      </c>
      <c r="H8" s="22" t="s">
        <v>70</v>
      </c>
      <c r="I8" s="22" t="s">
        <v>82</v>
      </c>
      <c r="J8" s="22" t="s">
        <v>83</v>
      </c>
      <c r="K8" s="22">
        <v>589.928</v>
      </c>
      <c r="L8" s="22"/>
      <c r="M8" s="22"/>
      <c r="N8" s="22">
        <v>580.745</v>
      </c>
      <c r="O8" s="22"/>
      <c r="P8" s="22"/>
      <c r="Q8" s="22">
        <v>577.745</v>
      </c>
      <c r="R8" s="22"/>
      <c r="S8" s="22"/>
      <c r="T8" s="22"/>
      <c r="U8" s="22"/>
      <c r="V8" s="22"/>
      <c r="W8" s="22"/>
      <c r="X8" s="22">
        <v>4</v>
      </c>
      <c r="Y8" s="22" t="s">
        <v>73</v>
      </c>
      <c r="Z8" s="22" t="s">
        <v>84</v>
      </c>
      <c r="AA8" s="22"/>
    </row>
    <row r="9" spans="2:27" ht="54">
      <c r="B9" s="22" t="s">
        <v>66</v>
      </c>
      <c r="C9" s="22" t="s">
        <v>67</v>
      </c>
      <c r="D9" s="22" t="s">
        <v>68</v>
      </c>
      <c r="E9" s="22">
        <v>6</v>
      </c>
      <c r="F9" s="22">
        <v>2</v>
      </c>
      <c r="G9" s="22" t="s">
        <v>85</v>
      </c>
      <c r="H9" s="22" t="s">
        <v>70</v>
      </c>
      <c r="I9" s="22" t="s">
        <v>82</v>
      </c>
      <c r="J9" s="22" t="s">
        <v>83</v>
      </c>
      <c r="K9" s="22">
        <v>589.928</v>
      </c>
      <c r="L9" s="22"/>
      <c r="M9" s="22"/>
      <c r="N9" s="22">
        <v>411.57299999999998</v>
      </c>
      <c r="O9" s="22"/>
      <c r="P9" s="22"/>
      <c r="Q9" s="22">
        <v>408.57299999999998</v>
      </c>
      <c r="R9" s="22"/>
      <c r="S9" s="22"/>
      <c r="T9" s="22"/>
      <c r="U9" s="22"/>
      <c r="V9" s="22"/>
      <c r="W9" s="22"/>
      <c r="X9" s="22">
        <v>4</v>
      </c>
      <c r="Y9" s="22" t="s">
        <v>73</v>
      </c>
      <c r="Z9" s="22" t="s">
        <v>84</v>
      </c>
      <c r="AA9" s="22">
        <v>2</v>
      </c>
    </row>
    <row r="10" spans="2:27" ht="54">
      <c r="B10" s="22" t="s">
        <v>66</v>
      </c>
      <c r="C10" s="22" t="s">
        <v>67</v>
      </c>
      <c r="D10" s="22" t="s">
        <v>68</v>
      </c>
      <c r="E10" s="22">
        <v>7</v>
      </c>
      <c r="F10" s="22">
        <v>3</v>
      </c>
      <c r="G10" s="22" t="s">
        <v>86</v>
      </c>
      <c r="H10" s="22" t="s">
        <v>70</v>
      </c>
      <c r="I10" s="22" t="s">
        <v>87</v>
      </c>
      <c r="J10" s="22" t="s">
        <v>88</v>
      </c>
      <c r="K10" s="22">
        <v>589.928</v>
      </c>
      <c r="L10" s="22"/>
      <c r="M10" s="22"/>
      <c r="N10" s="22">
        <v>616.745</v>
      </c>
      <c r="O10" s="22"/>
      <c r="P10" s="22"/>
      <c r="Q10" s="22">
        <v>613.745</v>
      </c>
      <c r="R10" s="22"/>
      <c r="S10" s="22"/>
      <c r="T10" s="22"/>
      <c r="U10" s="22"/>
      <c r="V10" s="22"/>
      <c r="W10" s="22"/>
      <c r="X10" s="22">
        <v>4</v>
      </c>
      <c r="Y10" s="22" t="s">
        <v>73</v>
      </c>
      <c r="Z10" s="22" t="s">
        <v>89</v>
      </c>
      <c r="AA10" s="22"/>
    </row>
    <row r="11" spans="2:27" ht="54">
      <c r="B11" s="22" t="s">
        <v>66</v>
      </c>
      <c r="C11" s="22" t="s">
        <v>67</v>
      </c>
      <c r="D11" s="22" t="s">
        <v>68</v>
      </c>
      <c r="E11" s="22">
        <v>8</v>
      </c>
      <c r="F11" s="22">
        <v>3</v>
      </c>
      <c r="G11" s="22" t="s">
        <v>90</v>
      </c>
      <c r="H11" s="22" t="s">
        <v>70</v>
      </c>
      <c r="I11" s="22" t="s">
        <v>87</v>
      </c>
      <c r="J11" s="22" t="s">
        <v>88</v>
      </c>
      <c r="K11" s="22">
        <v>589.928</v>
      </c>
      <c r="L11" s="22"/>
      <c r="M11" s="22"/>
      <c r="N11" s="22">
        <v>423.57299999999998</v>
      </c>
      <c r="O11" s="22"/>
      <c r="P11" s="22"/>
      <c r="Q11" s="22">
        <v>420.57299999999998</v>
      </c>
      <c r="R11" s="22"/>
      <c r="S11" s="22"/>
      <c r="T11" s="22"/>
      <c r="U11" s="22"/>
      <c r="V11" s="22"/>
      <c r="W11" s="22"/>
      <c r="X11" s="22">
        <v>4</v>
      </c>
      <c r="Y11" s="22" t="s">
        <v>73</v>
      </c>
      <c r="Z11" s="22" t="s">
        <v>89</v>
      </c>
      <c r="AA11" s="22">
        <v>2</v>
      </c>
    </row>
    <row r="12" spans="2:27" ht="54">
      <c r="B12" s="22" t="s">
        <v>66</v>
      </c>
      <c r="C12" s="22" t="s">
        <v>67</v>
      </c>
      <c r="D12" s="22" t="s">
        <v>68</v>
      </c>
      <c r="E12" s="22">
        <v>9</v>
      </c>
      <c r="F12" s="22">
        <v>4</v>
      </c>
      <c r="G12" s="22" t="s">
        <v>91</v>
      </c>
      <c r="H12" s="22" t="s">
        <v>70</v>
      </c>
      <c r="I12" s="22" t="s">
        <v>92</v>
      </c>
      <c r="J12" s="22" t="s">
        <v>93</v>
      </c>
      <c r="K12" s="22">
        <v>589.928</v>
      </c>
      <c r="L12" s="22"/>
      <c r="M12" s="22"/>
      <c r="N12" s="22">
        <v>634.745</v>
      </c>
      <c r="O12" s="22"/>
      <c r="P12" s="22"/>
      <c r="Q12" s="22">
        <v>631.745</v>
      </c>
      <c r="R12" s="22"/>
      <c r="S12" s="22"/>
      <c r="T12" s="22"/>
      <c r="U12" s="22"/>
      <c r="V12" s="22"/>
      <c r="W12" s="22"/>
      <c r="X12" s="22">
        <v>4</v>
      </c>
      <c r="Y12" s="22" t="s">
        <v>73</v>
      </c>
      <c r="Z12" s="22" t="s">
        <v>94</v>
      </c>
      <c r="AA12" s="22"/>
    </row>
    <row r="13" spans="2:27" ht="54">
      <c r="B13" s="22" t="s">
        <v>66</v>
      </c>
      <c r="C13" s="22" t="s">
        <v>67</v>
      </c>
      <c r="D13" s="22" t="s">
        <v>68</v>
      </c>
      <c r="E13" s="22">
        <v>10</v>
      </c>
      <c r="F13" s="22">
        <v>4</v>
      </c>
      <c r="G13" s="22" t="s">
        <v>95</v>
      </c>
      <c r="H13" s="22" t="s">
        <v>70</v>
      </c>
      <c r="I13" s="22" t="s">
        <v>92</v>
      </c>
      <c r="J13" s="22" t="s">
        <v>93</v>
      </c>
      <c r="K13" s="22">
        <v>589.928</v>
      </c>
      <c r="L13" s="22"/>
      <c r="M13" s="22"/>
      <c r="N13" s="22">
        <v>435.57299999999998</v>
      </c>
      <c r="O13" s="22"/>
      <c r="P13" s="22"/>
      <c r="Q13" s="22">
        <v>432.57299999999998</v>
      </c>
      <c r="R13" s="22"/>
      <c r="S13" s="22"/>
      <c r="T13" s="22"/>
      <c r="U13" s="22"/>
      <c r="V13" s="22"/>
      <c r="W13" s="22"/>
      <c r="X13" s="22">
        <v>4</v>
      </c>
      <c r="Y13" s="22" t="s">
        <v>73</v>
      </c>
      <c r="Z13" s="22" t="s">
        <v>94</v>
      </c>
      <c r="AA13" s="22">
        <v>2</v>
      </c>
    </row>
    <row r="14" spans="2:27" ht="54">
      <c r="B14" s="22" t="s">
        <v>66</v>
      </c>
      <c r="C14" s="22" t="s">
        <v>67</v>
      </c>
      <c r="D14" s="22" t="s">
        <v>68</v>
      </c>
      <c r="E14" s="22">
        <v>11</v>
      </c>
      <c r="F14" s="22">
        <v>5</v>
      </c>
      <c r="G14" s="22" t="s">
        <v>96</v>
      </c>
      <c r="H14" s="22" t="s">
        <v>70</v>
      </c>
      <c r="I14" s="22" t="s">
        <v>71</v>
      </c>
      <c r="J14" s="22" t="s">
        <v>72</v>
      </c>
      <c r="K14" s="22">
        <v>495.12700000000001</v>
      </c>
      <c r="L14" s="22"/>
      <c r="M14" s="22"/>
      <c r="N14" s="22">
        <v>756.33600000000001</v>
      </c>
      <c r="O14" s="22"/>
      <c r="P14" s="22"/>
      <c r="Q14" s="22">
        <v>757.33600000000001</v>
      </c>
      <c r="R14" s="22"/>
      <c r="S14" s="22"/>
      <c r="T14" s="22"/>
      <c r="U14" s="22"/>
      <c r="V14" s="22"/>
      <c r="W14" s="22"/>
      <c r="X14" s="22">
        <v>4</v>
      </c>
      <c r="Y14" s="22" t="s">
        <v>73</v>
      </c>
      <c r="Z14" s="22" t="s">
        <v>74</v>
      </c>
      <c r="AA14" s="22"/>
    </row>
    <row r="15" spans="2:27" ht="54">
      <c r="B15" s="22" t="s">
        <v>66</v>
      </c>
      <c r="C15" s="22" t="s">
        <v>67</v>
      </c>
      <c r="D15" s="22" t="s">
        <v>68</v>
      </c>
      <c r="E15" s="22">
        <v>12</v>
      </c>
      <c r="F15" s="22">
        <v>5</v>
      </c>
      <c r="G15" s="22" t="s">
        <v>97</v>
      </c>
      <c r="H15" s="22" t="s">
        <v>70</v>
      </c>
      <c r="I15" s="22" t="s">
        <v>71</v>
      </c>
      <c r="J15" s="22" t="s">
        <v>72</v>
      </c>
      <c r="K15" s="22">
        <v>589.928</v>
      </c>
      <c r="L15" s="22"/>
      <c r="M15" s="22"/>
      <c r="N15" s="22">
        <v>447.57299999999998</v>
      </c>
      <c r="O15" s="22"/>
      <c r="P15" s="22"/>
      <c r="Q15" s="22">
        <v>444.57299999999998</v>
      </c>
      <c r="R15" s="22"/>
      <c r="S15" s="22"/>
      <c r="T15" s="22"/>
      <c r="U15" s="22"/>
      <c r="V15" s="22"/>
      <c r="W15" s="22"/>
      <c r="X15" s="22">
        <v>4</v>
      </c>
      <c r="Y15" s="22" t="s">
        <v>73</v>
      </c>
      <c r="Z15" s="22" t="s">
        <v>74</v>
      </c>
      <c r="AA15" s="22">
        <v>2</v>
      </c>
    </row>
    <row r="16" spans="2:27" ht="54">
      <c r="B16" s="22" t="s">
        <v>66</v>
      </c>
      <c r="C16" s="22" t="s">
        <v>67</v>
      </c>
      <c r="D16" s="22" t="s">
        <v>68</v>
      </c>
      <c r="E16" s="22">
        <v>13</v>
      </c>
      <c r="F16" s="22">
        <v>1</v>
      </c>
      <c r="G16" s="22" t="s">
        <v>98</v>
      </c>
      <c r="H16" s="22" t="s">
        <v>70</v>
      </c>
      <c r="I16" s="22" t="s">
        <v>77</v>
      </c>
      <c r="J16" s="22" t="s">
        <v>78</v>
      </c>
      <c r="K16" s="22">
        <v>7.7519999999999998</v>
      </c>
      <c r="L16" s="22"/>
      <c r="M16" s="22"/>
      <c r="N16" s="22">
        <v>7.7519999999999998</v>
      </c>
      <c r="O16" s="22"/>
      <c r="P16" s="22"/>
      <c r="Q16" s="22">
        <v>83.013999999999996</v>
      </c>
      <c r="R16" s="22"/>
      <c r="S16" s="22"/>
      <c r="T16" s="22"/>
      <c r="U16" s="22"/>
      <c r="V16" s="22"/>
      <c r="W16" s="22">
        <v>80.013999999999996</v>
      </c>
      <c r="X16" s="22">
        <v>4</v>
      </c>
      <c r="Y16" s="22" t="s">
        <v>73</v>
      </c>
      <c r="Z16" s="22" t="s">
        <v>79</v>
      </c>
      <c r="AA16" s="22"/>
    </row>
    <row r="17" spans="2:27" ht="54">
      <c r="B17" s="22" t="s">
        <v>66</v>
      </c>
      <c r="C17" s="22" t="s">
        <v>67</v>
      </c>
      <c r="D17" s="22" t="s">
        <v>68</v>
      </c>
      <c r="E17" s="22">
        <v>14</v>
      </c>
      <c r="F17" s="22">
        <v>2</v>
      </c>
      <c r="G17" s="22" t="s">
        <v>99</v>
      </c>
      <c r="H17" s="22" t="s">
        <v>70</v>
      </c>
      <c r="I17" s="22" t="s">
        <v>82</v>
      </c>
      <c r="J17" s="22" t="s">
        <v>83</v>
      </c>
      <c r="K17" s="22">
        <v>15.016999999999999</v>
      </c>
      <c r="L17" s="22"/>
      <c r="M17" s="22"/>
      <c r="N17" s="22">
        <v>15.016999999999999</v>
      </c>
      <c r="O17" s="22"/>
      <c r="P17" s="22"/>
      <c r="Q17" s="22">
        <v>113.819</v>
      </c>
      <c r="R17" s="22"/>
      <c r="S17" s="22"/>
      <c r="T17" s="22"/>
      <c r="U17" s="22"/>
      <c r="V17" s="22"/>
      <c r="W17" s="22">
        <v>110.819</v>
      </c>
      <c r="X17" s="22">
        <v>4</v>
      </c>
      <c r="Y17" s="22" t="s">
        <v>73</v>
      </c>
      <c r="Z17" s="22" t="s">
        <v>84</v>
      </c>
      <c r="AA17" s="22"/>
    </row>
    <row r="18" spans="2:27" ht="54">
      <c r="B18" s="22" t="s">
        <v>66</v>
      </c>
      <c r="C18" s="22" t="s">
        <v>67</v>
      </c>
      <c r="D18" s="22" t="s">
        <v>68</v>
      </c>
      <c r="E18" s="22">
        <v>15</v>
      </c>
      <c r="F18" s="22">
        <v>3</v>
      </c>
      <c r="G18" s="22" t="s">
        <v>100</v>
      </c>
      <c r="H18" s="22" t="s">
        <v>70</v>
      </c>
      <c r="I18" s="22" t="s">
        <v>87</v>
      </c>
      <c r="J18" s="22" t="s">
        <v>88</v>
      </c>
      <c r="K18" s="22">
        <v>14.382</v>
      </c>
      <c r="L18" s="22"/>
      <c r="M18" s="22"/>
      <c r="N18" s="22">
        <v>14.382</v>
      </c>
      <c r="O18" s="22"/>
      <c r="P18" s="22"/>
      <c r="Q18" s="22">
        <v>95.183999999999997</v>
      </c>
      <c r="R18" s="22"/>
      <c r="S18" s="22"/>
      <c r="T18" s="22"/>
      <c r="U18" s="22"/>
      <c r="V18" s="22"/>
      <c r="W18" s="22">
        <v>92.183999999999997</v>
      </c>
      <c r="X18" s="22">
        <v>4</v>
      </c>
      <c r="Y18" s="22" t="s">
        <v>73</v>
      </c>
      <c r="Z18" s="22" t="s">
        <v>89</v>
      </c>
      <c r="AA18" s="22"/>
    </row>
    <row r="19" spans="2:27" ht="54">
      <c r="B19" s="22" t="s">
        <v>66</v>
      </c>
      <c r="C19" s="22" t="s">
        <v>67</v>
      </c>
      <c r="D19" s="22" t="s">
        <v>68</v>
      </c>
      <c r="E19" s="22">
        <v>16</v>
      </c>
      <c r="F19" s="22">
        <v>4</v>
      </c>
      <c r="G19" s="22" t="s">
        <v>101</v>
      </c>
      <c r="H19" s="22" t="s">
        <v>70</v>
      </c>
      <c r="I19" s="22" t="s">
        <v>92</v>
      </c>
      <c r="J19" s="22" t="s">
        <v>93</v>
      </c>
      <c r="K19" s="22">
        <v>13.747</v>
      </c>
      <c r="L19" s="22"/>
      <c r="M19" s="22"/>
      <c r="N19" s="22">
        <v>13.747</v>
      </c>
      <c r="O19" s="22"/>
      <c r="P19" s="22"/>
      <c r="Q19" s="22">
        <v>85.549000000000007</v>
      </c>
      <c r="R19" s="22"/>
      <c r="S19" s="22"/>
      <c r="T19" s="22"/>
      <c r="U19" s="22"/>
      <c r="V19" s="22"/>
      <c r="W19" s="22">
        <v>82.549000000000007</v>
      </c>
      <c r="X19" s="22">
        <v>4</v>
      </c>
      <c r="Y19" s="22" t="s">
        <v>73</v>
      </c>
      <c r="Z19" s="22" t="s">
        <v>94</v>
      </c>
      <c r="AA19" s="22"/>
    </row>
    <row r="20" spans="2:27" ht="54">
      <c r="B20" s="22" t="s">
        <v>66</v>
      </c>
      <c r="C20" s="22" t="s">
        <v>67</v>
      </c>
      <c r="D20" s="22" t="s">
        <v>68</v>
      </c>
      <c r="E20" s="22">
        <v>17</v>
      </c>
      <c r="F20" s="22">
        <v>5</v>
      </c>
      <c r="G20" s="22" t="s">
        <v>102</v>
      </c>
      <c r="H20" s="22" t="s">
        <v>70</v>
      </c>
      <c r="I20" s="22" t="s">
        <v>71</v>
      </c>
      <c r="J20" s="22" t="s">
        <v>72</v>
      </c>
      <c r="K20" s="22">
        <v>589.928</v>
      </c>
      <c r="L20" s="22"/>
      <c r="M20" s="22"/>
      <c r="N20" s="22">
        <v>698.16600000000005</v>
      </c>
      <c r="O20" s="22"/>
      <c r="P20" s="22"/>
      <c r="Q20" s="22">
        <v>695.16600000000005</v>
      </c>
      <c r="R20" s="22"/>
      <c r="S20" s="22"/>
      <c r="T20" s="22"/>
      <c r="U20" s="22"/>
      <c r="V20" s="22"/>
      <c r="W20" s="22">
        <v>589.93600000000004</v>
      </c>
      <c r="X20" s="22">
        <v>4</v>
      </c>
      <c r="Y20" s="22" t="s">
        <v>73</v>
      </c>
      <c r="Z20" s="22" t="s">
        <v>74</v>
      </c>
      <c r="AA20" s="22"/>
    </row>
    <row r="21" spans="2:27">
      <c r="B21" s="23" t="s">
        <v>103</v>
      </c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</row>
  </sheetData>
  <autoFilter ref="B3:AA2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5</vt:i4>
      </vt:variant>
    </vt:vector>
  </HeadingPairs>
  <TitlesOfParts>
    <vt:vector size="12" baseType="lpstr">
      <vt:lpstr>料號靶距</vt:lpstr>
      <vt:lpstr>長邊進_靶距</vt:lpstr>
      <vt:lpstr>短邊進_靶距</vt:lpstr>
      <vt:lpstr>longshow</vt:lpstr>
      <vt:lpstr>shortshow</vt:lpstr>
      <vt:lpstr>靶距</vt:lpstr>
      <vt:lpstr>工作表2</vt:lpstr>
      <vt:lpstr>longshow!Print_Area</vt:lpstr>
      <vt:lpstr>shortshow!Print_Area</vt:lpstr>
      <vt:lpstr>長邊進_靶距!Print_Area</vt:lpstr>
      <vt:lpstr>料號靶距!Print_Area</vt:lpstr>
      <vt:lpstr>短邊進_靶距!Print_Area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2021-06-13T18:41:16Z</cp:lastPrinted>
  <dcterms:created xsi:type="dcterms:W3CDTF">2021-06-06T15:19:42Z</dcterms:created>
  <dcterms:modified xsi:type="dcterms:W3CDTF">2023-02-26T15:50:21Z</dcterms:modified>
</cp:coreProperties>
</file>